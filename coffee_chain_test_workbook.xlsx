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8e4971fcf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99db9514fb5473a"/>
    <x:sheet xmlns:r="http://schemas.openxmlformats.org/officeDocument/2006/relationships" name="汇总看板" sheetId="2" r:id="R1b7a7a4ac1cb4e0d"/>
    <x:sheet xmlns:r="http://schemas.openxmlformats.org/officeDocument/2006/relationships" name="门店经营日报" sheetId="3" r:id="Rfb45dab6e31143c1"/>
    <x:sheet xmlns:r="http://schemas.openxmlformats.org/officeDocument/2006/relationships" name="商品销售日报" sheetId="4" r:id="R49e7adfcd34f49dc"/>
    <x:sheet xmlns:r="http://schemas.openxmlformats.org/officeDocument/2006/relationships" name="库存清单" sheetId="5" r:id="Rcd64a2dab9664d55"/>
    <x:sheet xmlns:r="http://schemas.openxmlformats.org/officeDocument/2006/relationships" name="门店主数据" sheetId="6" r:id="Rb94638fa9f544a74"/>
    <x:sheet xmlns:r="http://schemas.openxmlformats.org/officeDocument/2006/relationships" name="商品主数据" sheetId="7" r:id="Rd6e96a523405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0"/>
    <x:numFmt numFmtId="203" formatCode="0.0%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03040"/>
      <x:name val="Carlito"/>
    </x:font>
    <x:font>
      <x:b/>
      <x:sz val="11"/>
      <x:color rgb="FFFFFFFF"/>
      <x:name val="Microsoft YaHei"/>
    </x:font>
    <x:font>
      <x:sz val="10"/>
      <x:color rgb="FF203040"/>
      <x:name val="Carlito"/>
    </x:font>
    <x:font>
      <x:b/>
      <x:sz val="10"/>
      <x:color rgb="FF1F4E78"/>
      <x:name val="Carlito"/>
    </x:font>
    <x:font>
      <x:b/>
      <x:sz val="11"/>
      <x:color rgb="FF1F4E78"/>
      <x:name val="Carlito"/>
    </x:font>
    <x:font>
      <x:b/>
      <x:sz val="11"/>
      <x:color rgb="FF203040"/>
      <x:name val="Carlito"/>
    </x:font>
    <x:font>
      <x:b/>
      <x:sz val="11"/>
      <x:color rgb="FFFFFFFF"/>
      <x:name val="Carlito"/>
    </x:font>
    <x:font>
      <x:b/>
      <x:sz val="13"/>
      <x:color rgb="FF1F4E78"/>
      <x:name val="Carlito"/>
    </x:font>
    <x:font>
      <x:i/>
      <x:sz val="11"/>
      <x:color rgb="FF203040"/>
      <x:name val="Carlito"/>
    </x:font>
    <x:font>
      <x:b/>
      <x:sz val="10"/>
      <x:color rgb="FF203040"/>
      <x:name val="Microsoft YaHei"/>
    </x:font>
    <x:font>
      <x:i/>
      <x:sz val="10"/>
      <x:color rgb="FF203040"/>
      <x:name val="Microsoft YaHei"/>
    </x:font>
    <x:font>
      <x:sz val="10"/>
      <x:color rgb="FF203040"/>
      <x:name val="Microsoft YaHei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0F766E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0" borderId="3" xfId="0" applyNumberFormat="1" applyFont="1" applyFill="1" applyBorder="1"/>
    <x:xf numFmtId="0" fontId="0" fillId="7" borderId="3" xfId="0" applyNumberFormat="1" applyFont="1" applyFill="1" applyBorder="1"/>
    <x:xf numFmtId="0" fontId="0" fillId="0" borderId="4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0" borderId="8" xfId="0" applyNumberFormat="1" applyFont="1" applyFill="1" applyBorder="1"/>
    <x:xf numFmtId="0" fontId="0" fillId="5" borderId="8" xfId="0" applyNumberFormat="1" applyFont="1" applyFill="1" applyBorder="1"/>
    <x:xf numFmtId="0" fontId="0" fillId="0" borderId="9" xfId="0" applyNumberFormat="1" applyFont="1" applyFill="1" applyBorder="1"/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200" fontId="4" fillId="6" borderId="3" xfId="0" applyNumberFormat="1" applyFont="1" applyFill="1" applyBorder="1" applyAlignment="1">
      <x:alignment vertical="center"/>
    </x:xf>
    <x:xf numFmtId="200" fontId="4" fillId="6" borderId="1" xfId="0" applyNumberFormat="1" applyFont="1" applyFill="1" applyBorder="1" applyAlignment="1">
      <x:alignment vertical="center"/>
    </x:xf>
    <x:xf numFmtId="200" fontId="4" fillId="6" borderId="8" xfId="0" applyNumberFormat="1" applyFont="1" applyFill="1" applyBorder="1" applyAlignment="1">
      <x:alignment vertical="center"/>
    </x:xf>
    <x:xf numFmtId="201" fontId="4" fillId="6" borderId="3" xfId="0" applyNumberFormat="1" applyFont="1" applyFill="1" applyBorder="1" applyAlignment="1">
      <x:alignment vertical="center"/>
    </x:xf>
    <x:xf numFmtId="201" fontId="4" fillId="6" borderId="1" xfId="0" applyNumberFormat="1" applyFont="1" applyFill="1" applyBorder="1" applyAlignment="1">
      <x:alignment vertical="center"/>
    </x:xf>
    <x:xf numFmtId="201" fontId="4" fillId="6" borderId="8" xfId="0" applyNumberFormat="1" applyFont="1" applyFill="1" applyBorder="1" applyAlignment="1">
      <x:alignment vertical="center"/>
    </x:xf>
    <x:xf numFmtId="202" fontId="4" fillId="6" borderId="3" xfId="0" applyNumberFormat="1" applyFont="1" applyFill="1" applyBorder="1" applyAlignment="1">
      <x:alignment vertical="center"/>
    </x:xf>
    <x:xf numFmtId="202" fontId="4" fillId="6" borderId="1" xfId="0" applyNumberFormat="1" applyFont="1" applyFill="1" applyBorder="1" applyAlignment="1">
      <x:alignment vertical="center"/>
    </x:xf>
    <x:xf numFmtId="202" fontId="4" fillId="6" borderId="8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0" fontId="4" fillId="6" borderId="5" xfId="0" applyNumberFormat="1" applyFont="1" applyFill="1" applyBorder="1" applyAlignment="1">
      <x:alignment vertical="center"/>
    </x:xf>
    <x:xf numFmtId="200" fontId="4" fillId="6" borderId="7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200" fontId="7" fillId="6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right"/>
    </x:xf>
    <x:xf numFmtId="202" fontId="9" fillId="7" borderId="1" xfId="0" applyNumberFormat="1" applyFont="1" applyFill="1" applyBorder="1" applyAlignment="1">
      <x:alignment horizontal="right"/>
    </x:xf>
    <x:xf numFmtId="203" fontId="9" fillId="7" borderId="1" xfId="0" applyNumberFormat="1" applyFont="1" applyFill="1" applyBorder="1" applyAlignment="1">
      <x:alignment horizontal="right"/>
    </x:xf>
    <x:xf numFmtId="201" fontId="9" fillId="7" borderId="1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vertical="center"/>
    </x:xf>
    <x:xf numFmtId="0" fontId="13" fillId="0" borderId="3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vertical="center"/>
    </x:xf>
    <x:xf numFmtId="0" fontId="13" fillId="0" borderId="6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0" fontId="13" fillId="0" borderId="8" xfId="0" applyNumberFormat="1" applyFont="1" applyFill="1" applyBorder="1" applyAlignment="1">
      <x:alignment vertical="center"/>
    </x:xf>
    <x:xf numFmtId="0" fontId="13" fillId="0" borderId="9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horizontal="left"/>
    </x:xf>
    <x:xf numFmtId="0" fontId="13" fillId="6" borderId="2" xfId="0" applyNumberFormat="1" applyFont="1" applyFill="1" applyBorder="1"/>
    <x:xf numFmtId="0" fontId="13" fillId="6" borderId="3" xfId="0" applyNumberFormat="1" applyFont="1" applyFill="1" applyBorder="1"/>
    <x:xf numFmtId="0" fontId="13" fillId="0" borderId="3" xfId="0" applyNumberFormat="1" applyFont="1" applyFill="1" applyBorder="1"/>
    <x:xf numFmtId="0" fontId="13" fillId="7" borderId="3" xfId="0" applyNumberFormat="1" applyFont="1" applyFill="1" applyBorder="1"/>
    <x:xf numFmtId="0" fontId="13" fillId="0" borderId="4" xfId="0" applyNumberFormat="1" applyFont="1" applyFill="1" applyBorder="1"/>
    <x:xf numFmtId="0" fontId="13" fillId="8" borderId="7" xfId="0" applyNumberFormat="1" applyFont="1" applyFill="1" applyBorder="1"/>
    <x:xf numFmtId="0" fontId="13" fillId="8" borderId="8" xfId="0" applyNumberFormat="1" applyFont="1" applyFill="1" applyBorder="1"/>
    <x:xf numFmtId="0" fontId="13" fillId="0" borderId="8" xfId="0" applyNumberFormat="1" applyFont="1" applyFill="1" applyBorder="1"/>
    <x:xf numFmtId="0" fontId="13" fillId="5" borderId="8" xfId="0" applyNumberFormat="1" applyFont="1" applyFill="1" applyBorder="1"/>
    <x:xf numFmtId="0" fontId="13" fillId="0" borderId="9" xfId="0" applyNumberFormat="1" applyFont="1" applyFill="1" applyBorder="1"/>
    <x:xf numFmtId="0" fontId="11" fillId="6" borderId="1" xfId="0" applyNumberFormat="1" applyFont="1" applyFill="1" applyBorder="1"/>
    <x:xf numFmtId="200" fontId="11" fillId="6" borderId="1" xfId="0" applyNumberFormat="1" applyFont="1" applyFill="1" applyBorder="1"/>
    <x:xf numFmtId="0" fontId="11" fillId="4" borderId="1" xfId="0" applyNumberFormat="1" applyFont="1" applyFill="1" applyBorder="1" applyAlignment="1">
      <x:alignment horizontal="center" wrapText="1"/>
    </x:xf>
    <x:xf numFmtId="202" fontId="11" fillId="7" borderId="1" xfId="0" applyNumberFormat="1" applyFont="1" applyFill="1" applyBorder="1" applyAlignment="1">
      <x:alignment horizontal="right"/>
    </x:xf>
    <x:xf numFmtId="203" fontId="11" fillId="7" borderId="1" xfId="0" applyNumberFormat="1" applyFont="1" applyFill="1" applyBorder="1" applyAlignment="1">
      <x:alignment horizontal="right"/>
    </x:xf>
    <x:xf numFmtId="201" fontId="11" fillId="7" borderId="1" xfId="0" applyNumberFormat="1" applyFont="1" applyFill="1" applyBorder="1" applyAlignment="1">
      <x:alignment horizontal="right"/>
    </x:xf>
    <x:xf numFmtId="0" fontId="13" fillId="6" borderId="2" xfId="0" applyNumberFormat="1" applyFont="1" applyFill="1" applyBorder="1" applyAlignment="1">
      <x:alignment vertical="center"/>
    </x:xf>
    <x:xf numFmtId="202" fontId="13" fillId="0" borderId="3" xfId="0" applyNumberFormat="1" applyFont="1" applyFill="1" applyBorder="1" applyAlignment="1">
      <x:alignment vertical="center"/>
    </x:xf>
    <x:xf numFmtId="203" fontId="13" fillId="0" borderId="3" xfId="0" applyNumberFormat="1" applyFont="1" applyFill="1" applyBorder="1" applyAlignment="1">
      <x:alignment vertical="center"/>
    </x:xf>
    <x:xf numFmtId="201" fontId="13" fillId="0" borderId="3" xfId="0" applyNumberFormat="1" applyFont="1" applyFill="1" applyBorder="1" applyAlignment="1">
      <x:alignment vertical="center"/>
    </x:xf>
    <x:xf numFmtId="201" fontId="13" fillId="0" borderId="4" xfId="0" applyNumberFormat="1" applyFont="1" applyFill="1" applyBorder="1" applyAlignment="1">
      <x:alignment vertical="center"/>
    </x:xf>
    <x:xf numFmtId="0" fontId="13" fillId="6" borderId="5" xfId="0" applyNumberFormat="1" applyFont="1" applyFill="1" applyBorder="1" applyAlignment="1">
      <x:alignment vertical="center"/>
    </x:xf>
    <x:xf numFmtId="202" fontId="13" fillId="0" borderId="1" xfId="0" applyNumberFormat="1" applyFont="1" applyFill="1" applyBorder="1" applyAlignment="1">
      <x:alignment vertical="center"/>
    </x:xf>
    <x:xf numFmtId="203" fontId="13" fillId="0" borderId="1" xfId="0" applyNumberFormat="1" applyFont="1" applyFill="1" applyBorder="1" applyAlignment="1">
      <x:alignment vertical="center"/>
    </x:xf>
    <x:xf numFmtId="201" fontId="13" fillId="0" borderId="1" xfId="0" applyNumberFormat="1" applyFont="1" applyFill="1" applyBorder="1" applyAlignment="1">
      <x:alignment vertical="center"/>
    </x:xf>
    <x:xf numFmtId="201" fontId="13" fillId="0" borderId="6" xfId="0" applyNumberFormat="1" applyFont="1" applyFill="1" applyBorder="1" applyAlignment="1">
      <x:alignment vertical="center"/>
    </x:xf>
    <x:xf numFmtId="0" fontId="13" fillId="6" borderId="7" xfId="0" applyNumberFormat="1" applyFont="1" applyFill="1" applyBorder="1" applyAlignment="1">
      <x:alignment vertical="center"/>
    </x:xf>
    <x:xf numFmtId="202" fontId="13" fillId="0" borderId="8" xfId="0" applyNumberFormat="1" applyFont="1" applyFill="1" applyBorder="1" applyAlignment="1">
      <x:alignment vertical="center"/>
    </x:xf>
    <x:xf numFmtId="203" fontId="13" fillId="0" borderId="8" xfId="0" applyNumberFormat="1" applyFont="1" applyFill="1" applyBorder="1" applyAlignment="1">
      <x:alignment vertical="center"/>
    </x:xf>
    <x:xf numFmtId="201" fontId="13" fillId="0" borderId="8" xfId="0" applyNumberFormat="1" applyFont="1" applyFill="1" applyBorder="1" applyAlignment="1">
      <x:alignment vertical="center"/>
    </x:xf>
    <x:xf numFmtId="201" fontId="13" fillId="0" borderId="9" xfId="0" applyNumberFormat="1" applyFont="1" applyFill="1" applyBorder="1" applyAlignment="1">
      <x:alignment vertical="center"/>
    </x:xf>
    <x:xf numFmtId="202" fontId="13" fillId="0" borderId="4" xfId="0" applyNumberFormat="1" applyFont="1" applyFill="1" applyBorder="1" applyAlignment="1">
      <x:alignment vertical="center"/>
    </x:xf>
    <x:xf numFmtId="200" fontId="13" fillId="0" borderId="2" xfId="0" applyNumberFormat="1" applyFont="1" applyFill="1" applyBorder="1" applyAlignment="1">
      <x:alignment vertical="center"/>
    </x:xf>
    <x:xf numFmtId="202" fontId="13" fillId="0" borderId="6" xfId="0" applyNumberFormat="1" applyFont="1" applyFill="1" applyBorder="1" applyAlignment="1">
      <x:alignment vertical="center"/>
    </x:xf>
    <x:xf numFmtId="200" fontId="13" fillId="0" borderId="5" xfId="0" applyNumberFormat="1" applyFont="1" applyFill="1" applyBorder="1" applyAlignment="1">
      <x:alignment vertical="center"/>
    </x:xf>
    <x:xf numFmtId="200" fontId="13" fillId="0" borderId="7" xfId="0" applyNumberFormat="1" applyFont="1" applyFill="1" applyBorder="1" applyAlignment="1">
      <x:alignment vertical="center"/>
    </x:xf>
    <x:xf numFmtId="202" fontId="13" fillId="0" borderId="9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wrapText="1"/>
    </x:xf>
    <x:xf numFmtId="200" fontId="13" fillId="6" borderId="2" xfId="0" applyNumberFormat="1" applyFont="1" applyFill="1" applyBorder="1" applyAlignment="1">
      <x:alignment vertical="center"/>
    </x:xf>
    <x:xf numFmtId="0" fontId="13" fillId="6" borderId="3" xfId="0" applyNumberFormat="1" applyFont="1" applyFill="1" applyBorder="1" applyAlignment="1">
      <x:alignment vertical="center"/>
    </x:xf>
    <x:xf numFmtId="201" fontId="13" fillId="6" borderId="3" xfId="0" applyNumberFormat="1" applyFont="1" applyFill="1" applyBorder="1" applyAlignment="1">
      <x:alignment vertical="center"/>
    </x:xf>
    <x:xf numFmtId="202" fontId="13" fillId="6" borderId="3" xfId="0" applyNumberFormat="1" applyFont="1" applyFill="1" applyBorder="1" applyAlignment="1">
      <x:alignment vertical="center"/>
    </x:xf>
    <x:xf numFmtId="0" fontId="13" fillId="6" borderId="4" xfId="0" applyNumberFormat="1" applyFont="1" applyFill="1" applyBorder="1" applyAlignment="1">
      <x:alignment vertical="center"/>
    </x:xf>
    <x:xf numFmtId="200" fontId="13" fillId="6" borderId="5" xfId="0" applyNumberFormat="1" applyFont="1" applyFill="1" applyBorder="1" applyAlignment="1">
      <x:alignment vertical="center"/>
    </x:xf>
    <x:xf numFmtId="0" fontId="13" fillId="6" borderId="1" xfId="0" applyNumberFormat="1" applyFont="1" applyFill="1" applyBorder="1" applyAlignment="1">
      <x:alignment vertical="center"/>
    </x:xf>
    <x:xf numFmtId="201" fontId="13" fillId="6" borderId="1" xfId="0" applyNumberFormat="1" applyFont="1" applyFill="1" applyBorder="1" applyAlignment="1">
      <x:alignment vertical="center"/>
    </x:xf>
    <x:xf numFmtId="202" fontId="13" fillId="6" borderId="1" xfId="0" applyNumberFormat="1" applyFont="1" applyFill="1" applyBorder="1" applyAlignment="1">
      <x:alignment vertical="center"/>
    </x:xf>
    <x:xf numFmtId="0" fontId="13" fillId="6" borderId="6" xfId="0" applyNumberFormat="1" applyFont="1" applyFill="1" applyBorder="1" applyAlignment="1">
      <x:alignment vertical="center"/>
    </x:xf>
    <x:xf numFmtId="200" fontId="13" fillId="6" borderId="7" xfId="0" applyNumberFormat="1" applyFont="1" applyFill="1" applyBorder="1" applyAlignment="1">
      <x:alignment vertical="center"/>
    </x:xf>
    <x:xf numFmtId="0" fontId="13" fillId="6" borderId="8" xfId="0" applyNumberFormat="1" applyFont="1" applyFill="1" applyBorder="1" applyAlignment="1">
      <x:alignment vertical="center"/>
    </x:xf>
    <x:xf numFmtId="201" fontId="13" fillId="6" borderId="8" xfId="0" applyNumberFormat="1" applyFont="1" applyFill="1" applyBorder="1" applyAlignment="1">
      <x:alignment vertical="center"/>
    </x:xf>
    <x:xf numFmtId="202" fontId="13" fillId="6" borderId="8" xfId="0" applyNumberFormat="1" applyFont="1" applyFill="1" applyBorder="1" applyAlignment="1">
      <x:alignment vertical="center"/>
    </x:xf>
    <x:xf numFmtId="0" fontId="13" fillId="6" borderId="9" xfId="0" applyNumberFormat="1" applyFont="1" applyFill="1" applyBorder="1" applyAlignment="1">
      <x:alignment vertical="center"/>
    </x:xf>
    <x:xf numFmtId="200" fontId="13" fillId="6" borderId="3" xfId="0" applyNumberFormat="1" applyFont="1" applyFill="1" applyBorder="1" applyAlignment="1">
      <x:alignment vertical="center"/>
    </x:xf>
    <x:xf numFmtId="200" fontId="13" fillId="6" borderId="1" xfId="0" applyNumberFormat="1" applyFont="1" applyFill="1" applyBorder="1" applyAlignment="1">
      <x:alignment vertical="center"/>
    </x:xf>
    <x:xf numFmtId="200" fontId="13" fillId="6" borderId="8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 applyAlignment="1">
      <x:alignment horizontal="left" vertical="center"/>
    </x:xf>
    <x:xf numFmtId="0" fontId="15" fillId="4" borderId="1" xfId="0" applyNumberFormat="1" applyFont="1" applyFill="1" applyBorder="1" applyAlignment="1">
      <x:alignment horizontal="center" vertical="center" wrapText="1"/>
    </x:xf>
    <x:xf numFmtId="0" fontId="15" fillId="4" borderId="1" xfId="0" applyNumberFormat="1" applyFont="1" applyFill="1" applyBorder="1" applyAlignment="1">
      <x:alignment horizontal="center" wrapText="1"/>
    </x:xf>
    <x:xf numFmtId="0" fontId="13" fillId="7" borderId="3" xfId="0" applyNumberFormat="1" applyFont="1" applyFill="1" applyBorder="1" applyAlignment="1">
      <x:alignment vertical="center"/>
    </x:xf>
    <x:xf numFmtId="0" fontId="13" fillId="7" borderId="1" xfId="0" applyNumberFormat="1" applyFont="1" applyFill="1" applyBorder="1" applyAlignment="1">
      <x:alignment vertical="center"/>
    </x:xf>
    <x:xf numFmtId="0" fontId="13" fillId="7" borderId="8" xfId="0" applyNumberFormat="1" applyFont="1" applyFill="1" applyBorder="1" applyAlignment="1">
      <x:alignment vertical="center"/>
    </x:xf>
    <x:xf numFmtId="202" fontId="13" fillId="7" borderId="3" xfId="0" applyNumberFormat="1" applyFont="1" applyFill="1" applyBorder="1" applyAlignment="1">
      <x:alignment vertical="center"/>
    </x:xf>
    <x:xf numFmtId="202" fontId="13" fillId="7" borderId="1" xfId="0" applyNumberFormat="1" applyFont="1" applyFill="1" applyBorder="1" applyAlignment="1">
      <x:alignment vertical="center"/>
    </x:xf>
    <x:xf numFmtId="202" fontId="13" fillId="7" borderId="8" xfId="0" applyNumberFormat="1" applyFont="1" applyFill="1" applyBorder="1" applyAlignment="1">
      <x:alignment vertical="center"/>
    </x:xf>
    <x:xf numFmtId="201" fontId="13" fillId="7" borderId="3" xfId="0" applyNumberFormat="1" applyFont="1" applyFill="1" applyBorder="1" applyAlignment="1">
      <x:alignment vertical="center"/>
    </x:xf>
    <x:xf numFmtId="203" fontId="13" fillId="7" borderId="3" xfId="0" applyNumberFormat="1" applyFont="1" applyFill="1" applyBorder="1" applyAlignment="1">
      <x:alignment vertical="center"/>
    </x:xf>
    <x:xf numFmtId="201" fontId="13" fillId="7" borderId="1" xfId="0" applyNumberFormat="1" applyFont="1" applyFill="1" applyBorder="1" applyAlignment="1">
      <x:alignment vertical="center"/>
    </x:xf>
    <x:xf numFmtId="203" fontId="13" fillId="7" borderId="1" xfId="0" applyNumberFormat="1" applyFont="1" applyFill="1" applyBorder="1" applyAlignment="1">
      <x:alignment vertical="center"/>
    </x:xf>
    <x:xf numFmtId="201" fontId="13" fillId="7" borderId="8" xfId="0" applyNumberFormat="1" applyFont="1" applyFill="1" applyBorder="1" applyAlignment="1">
      <x:alignment vertical="center"/>
    </x:xf>
    <x:xf numFmtId="203" fontId="13" fillId="7" borderId="8" xfId="0" applyNumberFormat="1" applyFont="1" applyFill="1" applyBorder="1" applyAlignment="1">
      <x:alignment vertical="center"/>
    </x:xf>
    <x:xf numFmtId="201" fontId="13" fillId="7" borderId="4" xfId="0" applyNumberFormat="1" applyFont="1" applyFill="1" applyBorder="1" applyAlignment="1">
      <x:alignment vertical="center"/>
    </x:xf>
    <x:xf numFmtId="201" fontId="13" fillId="7" borderId="6" xfId="0" applyNumberFormat="1" applyFont="1" applyFill="1" applyBorder="1" applyAlignment="1">
      <x:alignment vertical="center"/>
    </x:xf>
    <x:xf numFmtId="201" fontId="13" fillId="7" borderId="9" xfId="0" applyNumberFormat="1" applyFont="1" applyFill="1" applyBorder="1" applyAlignment="1">
      <x:alignment vertical="center"/>
    </x:xf>
    <x:xf numFmtId="202" fontId="13" fillId="7" borderId="4" xfId="0" applyNumberFormat="1" applyFont="1" applyFill="1" applyBorder="1" applyAlignment="1">
      <x:alignment vertical="center"/>
    </x:xf>
    <x:xf numFmtId="202" fontId="13" fillId="7" borderId="6" xfId="0" applyNumberFormat="1" applyFont="1" applyFill="1" applyBorder="1" applyAlignment="1">
      <x:alignment vertical="center"/>
    </x:xf>
    <x:xf numFmtId="202" fontId="13" fillId="7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D6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f5d5df5f945d9" /><Relationship Type="http://schemas.openxmlformats.org/officeDocument/2006/relationships/theme" Target="/xl/theme/theme1.xml" Id="R0af2df468cfe4d06" /><Relationship Type="http://schemas.openxmlformats.org/officeDocument/2006/relationships/sharedStrings" Target="/xl/sharedStrings.xml" Id="R0f988d7893534711" /><Relationship Type="http://schemas.openxmlformats.org/officeDocument/2006/relationships/worksheet" Target="/xl/worksheets/sheet1.xml" Id="R899db9514fb5473a" /><Relationship Type="http://schemas.openxmlformats.org/officeDocument/2006/relationships/worksheet" Target="/xl/worksheets/sheet2.xml" Id="R1b7a7a4ac1cb4e0d" /><Relationship Type="http://schemas.openxmlformats.org/officeDocument/2006/relationships/worksheet" Target="/xl/worksheets/sheet3.xml" Id="Rfb45dab6e31143c1" /><Relationship Type="http://schemas.openxmlformats.org/officeDocument/2006/relationships/worksheet" Target="/xl/worksheets/sheet4.xml" Id="R49e7adfcd34f49dc" /><Relationship Type="http://schemas.openxmlformats.org/officeDocument/2006/relationships/worksheet" Target="/xl/worksheets/sheet5.xml" Id="Rcd64a2dab9664d55" /><Relationship Type="http://schemas.openxmlformats.org/officeDocument/2006/relationships/worksheet" Target="/xl/worksheets/sheet6.xml" Id="Rb94638fa9f544a74" /><Relationship Type="http://schemas.openxmlformats.org/officeDocument/2006/relationships/worksheet" Target="/xl/worksheets/sheet7.xml" Id="Rd6e96a5234054ed5" /></Relationships>
</file>

<file path=xl/tables/table1.xml><?xml version="1.0" encoding="utf-8"?>
<x:table xmlns:x="http://schemas.openxmlformats.org/spreadsheetml/2006/main" id="4" name="StoreDailyTable" displayName="StoreDailyTable" ref="A4:P16" headerRowCount="1" totalsRowCount="0" totalsRowShown="0">
  <x:tableColumns count="16">
    <x:tableColumn id="1" name="日期"/>
    <x:tableColumn id="2" name="门店编码"/>
    <x:tableColumn id="3" name="门店名称"/>
    <x:tableColumn id="4" name="营业状态"/>
    <x:tableColumn id="5" name="营业小时"/>
    <x:tableColumn id="6" name="交易笔数"/>
    <x:tableColumn id="7" name="销售数量"/>
    <x:tableColumn id="8" name="实收销售额"/>
    <x:tableColumn id="9" name="销售成本"/>
    <x:tableColumn id="10" name="毛利"/>
    <x:tableColumn id="11" name="毛利率"/>
    <x:tableColumn id="12" name="平均客单价"/>
    <x:tableColumn id="13" name="退货金额"/>
    <x:tableColumn id="14" name="门店费用"/>
    <x:tableColumn id="15" name="经营利润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alesDailyTable" displayName="SalesDailyTable" ref="A4:Q148" headerRowCount="1" totalsRowCount="0" totalsRowShown="0">
  <x:tableColumns count="17">
    <x:tableColumn id="1" name="日期"/>
    <x:tableColumn id="2" name="门店编码"/>
    <x:tableColumn id="3" name="门店名称"/>
    <x:tableColumn id="4" name="商品编码"/>
    <x:tableColumn id="5" name="商品名称"/>
    <x:tableColumn id="6" name="类别"/>
    <x:tableColumn id="7" name="单价"/>
    <x:tableColumn id="8" name="交易笔数"/>
    <x:tableColumn id="9" name="销售数量"/>
    <x:tableColumn id="10" name="原价金额"/>
    <x:tableColumn id="11" name="折扣金额"/>
    <x:tableColumn id="12" name="实收金额"/>
    <x:tableColumn id="13" name="单位成本"/>
    <x:tableColumn id="14" name="销售成本"/>
    <x:tableColumn id="15" name="毛利"/>
    <x:tableColumn id="16" name="支付方式"/>
    <x:tableColumn id="1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InventoryTable" displayName="InventoryTable" ref="A4:R52" headerRowCount="1" totalsRowCount="0" totalsRowShown="0">
  <x:tableColumns count="18">
    <x:tableColumn id="1" name="日期"/>
    <x:tableColumn id="2" name="门店编码"/>
    <x:tableColumn id="3" name="门店名称"/>
    <x:tableColumn id="4" name="商品编码"/>
    <x:tableColumn id="5" name="商品名称"/>
    <x:tableColumn id="6" name="类别"/>
    <x:tableColumn id="7" name="期初库存"/>
    <x:tableColumn id="8" name="入库数量"/>
    <x:tableColumn id="9" name="销售数量"/>
    <x:tableColumn id="10" name="报损数量"/>
    <x:tableColumn id="11" name="期末库存"/>
    <x:tableColumn id="12" name="安全库存"/>
    <x:tableColumn id="13" name="库存状态"/>
    <x:tableColumn id="14" name="建议补货量"/>
    <x:tableColumn id="15" name="单位成本"/>
    <x:tableColumn id="16" name="库存金额"/>
    <x:tableColumn id="17" name="盘点人"/>
    <x:tableColumn id="18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StoreMasterTable" displayName="StoreMasterTable" ref="A4:H8" headerRowCount="1" totalsRowCount="0" totalsRowShown="0">
  <x:tableColumns count="8">
    <x:tableColumn id="1" name="门店编码"/>
    <x:tableColumn id="2" name="门店名称"/>
    <x:tableColumn id="3" name="区域"/>
    <x:tableColumn id="4" name="开业日期"/>
    <x:tableColumn id="5" name="店长"/>
    <x:tableColumn id="6" name="座位数"/>
    <x:tableColumn id="7" name="门店状态"/>
    <x:tableColumn id="8" name="门店类型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ProductMasterTable" displayName="ProductMasterTable" ref="A4:H16" headerRowCount="1" totalsRowCount="0" totalsRowShown="0">
  <x:tableColumns count="8">
    <x:tableColumn id="1" name="商品编码"/>
    <x:tableColumn id="2" name="商品名称"/>
    <x:tableColumn id="3" name="类别"/>
    <x:tableColumn id="4" name="系列"/>
    <x:tableColumn id="5" name="销售单价"/>
    <x:tableColumn id="6" name="单位成本"/>
    <x:tableColumn id="7" name="安全库存"/>
    <x:tableColumn id="8" name="在售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e095a2299b24d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d0a7260169249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26eeed9732849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c02bd175a9349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1f9fc6fa20645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42" hidden="0" customWidth="1"/>
    <x:col min="4" max="4" width="42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</x:cols>
  <x:sheetData>
    <x:row r="1" ht="30" customHeight="1">
      <x:c r="A1" s="178" t="str">
        <x:v>四家连锁咖啡店｜经营日报测试工作簿</x:v>
      </x:c>
      <x:c r="B1" s="178"/>
      <x:c r="C1" s="178"/>
      <x:c r="D1" s="178"/>
      <x:c r="E1" s="178"/>
      <x:c r="F1" s="178"/>
      <x:c r="G1" s="178"/>
      <x:c r="H1" s="178"/>
    </x:row>
    <x:row r="2" ht="24" customHeight="1">
      <x:c r="A2" s="109" t="str">
        <x:v>示例数据仅供功能测试：可修改黄色输入单元格，绿色单元格为公式计算结果。</x:v>
      </x:c>
      <x:c r="B2" s="109" t="str">
        <x:v>示例数据仅供功能测试：可修改黄色输入单元格，绿色单元格为公式计算结果。</x:v>
      </x:c>
      <x:c r="C2" s="109" t="str">
        <x:v>示例数据仅供功能测试：可修改黄色输入单元格，绿色单元格为公式计算结果。</x:v>
      </x:c>
      <x:c r="D2" s="109" t="str">
        <x:v>示例数据仅供功能测试：可修改黄色输入单元格，绿色单元格为公式计算结果。</x:v>
      </x:c>
      <x:c r="E2" s="109" t="str">
        <x:v>示例数据仅供功能测试：可修改黄色输入单元格，绿色单元格为公式计算结果。</x:v>
      </x:c>
      <x:c r="F2" s="109" t="str">
        <x:v>示例数据仅供功能测试：可修改黄色输入单元格，绿色单元格为公式计算结果。</x:v>
      </x:c>
      <x:c r="G2" s="109" t="str">
        <x:v>示例数据仅供功能测试：可修改黄色输入单元格，绿色单元格为公式计算结果。</x:v>
      </x:c>
      <x:c r="H2" s="109" t="str">
        <x:v>示例数据仅供功能测试：可修改黄色输入单元格，绿色单元格为公式计算结果。</x:v>
      </x:c>
    </x:row>
    <x:row r="3">
      <x:c r="A3" s="110"/>
      <x:c r="B3" s="110"/>
      <x:c r="C3" s="110"/>
      <x:c r="D3" s="110"/>
      <x:c r="E3" s="110"/>
      <x:c r="F3" s="110"/>
      <x:c r="G3" s="110"/>
      <x:c r="H3" s="110"/>
    </x:row>
    <x:row r="4" ht="28" customHeight="1">
      <x:c r="A4" s="179" t="str">
        <x:v>工作表</x:v>
      </x:c>
      <x:c r="B4" s="179" t="str">
        <x:v>用途</x:v>
      </x:c>
      <x:c r="C4" s="179" t="str">
        <x:v>主要输入</x:v>
      </x:c>
      <x:c r="D4" s="179" t="str">
        <x:v>主要计算</x:v>
      </x:c>
      <x:c r="E4" s="110"/>
      <x:c r="F4" s="110"/>
      <x:c r="G4" s="110"/>
      <x:c r="H4" s="110"/>
    </x:row>
    <x:row r="5">
      <x:c r="A5" s="112" t="str">
        <x:v>汇总看板</x:v>
      </x:c>
      <x:c r="B5" s="113" t="str">
        <x:v>按日期查看全店及门店对比</x:v>
      </x:c>
      <x:c r="C5" s="113" t="str">
        <x:v>统计日期</x:v>
      </x:c>
      <x:c r="D5" s="114" t="str">
        <x:v>销售额、毛利、客单价、需补货 SKU</x:v>
      </x:c>
      <x:c r="E5" s="110"/>
      <x:c r="F5" s="110"/>
      <x:c r="G5" s="110"/>
      <x:c r="H5" s="110"/>
    </x:row>
    <x:row r="6">
      <x:c r="A6" s="115" t="str">
        <x:v>门店经营日报</x:v>
      </x:c>
      <x:c r="B6" s="116" t="str">
        <x:v>每店每日经营结果</x:v>
      </x:c>
      <x:c r="C6" s="116" t="str">
        <x:v>营业状态、营业小时、门店费用</x:v>
      </x:c>
      <x:c r="D6" s="117" t="str">
        <x:v>交易笔数、销售额、毛利、经营利润</x:v>
      </x:c>
      <x:c r="E6" s="110"/>
      <x:c r="F6" s="110"/>
      <x:c r="G6" s="110"/>
      <x:c r="H6" s="110"/>
    </x:row>
    <x:row r="7">
      <x:c r="A7" s="115" t="str">
        <x:v>商品销售日报</x:v>
      </x:c>
      <x:c r="B7" s="116" t="str">
        <x:v>按日期/门店/商品记录销售</x:v>
      </x:c>
      <x:c r="C7" s="116" t="str">
        <x:v>日期、门店编码、商品编码、交易笔数、销售数量、折扣、支付方式</x:v>
      </x:c>
      <x:c r="D7" s="117" t="str">
        <x:v>商品名称、单价、实收金额、成本、毛利</x:v>
      </x:c>
      <x:c r="E7" s="110"/>
      <x:c r="F7" s="110"/>
      <x:c r="G7" s="110"/>
      <x:c r="H7" s="110"/>
    </x:row>
    <x:row r="8">
      <x:c r="A8" s="115" t="str">
        <x:v>库存清单</x:v>
      </x:c>
      <x:c r="B8" s="116" t="str">
        <x:v>按门店和商品查看库存快照</x:v>
      </x:c>
      <x:c r="C8" s="116" t="str">
        <x:v>期初库存、入库数量、报损数量</x:v>
      </x:c>
      <x:c r="D8" s="117" t="str">
        <x:v>销售数量、期末库存、库存状态、建议补货量</x:v>
      </x:c>
      <x:c r="E8" s="110"/>
      <x:c r="F8" s="110"/>
      <x:c r="G8" s="110"/>
      <x:c r="H8" s="110"/>
    </x:row>
    <x:row r="9">
      <x:c r="A9" s="115" t="str">
        <x:v>门店主数据</x:v>
      </x:c>
      <x:c r="B9" s="116" t="str">
        <x:v>四家门店基础信息</x:v>
      </x:c>
      <x:c r="C9" s="116" t="str">
        <x:v>门店基础资料</x:v>
      </x:c>
      <x:c r="D9" s="117" t="str">
        <x:v>供日报和看板引用</x:v>
      </x:c>
      <x:c r="E9" s="110"/>
      <x:c r="F9" s="110"/>
      <x:c r="G9" s="110"/>
      <x:c r="H9" s="110"/>
    </x:row>
    <x:row r="10">
      <x:c r="A10" s="115" t="str">
        <x:v>商品主数据</x:v>
      </x:c>
      <x:c r="B10" s="116" t="str">
        <x:v>商品、价格、成本和安全库存</x:v>
      </x:c>
      <x:c r="C10" s="116" t="str">
        <x:v>商品基础资料</x:v>
      </x:c>
      <x:c r="D10" s="117" t="str">
        <x:v>供销售日报和库存清单引用</x:v>
      </x:c>
      <x:c r="E10" s="110"/>
      <x:c r="F10" s="110"/>
      <x:c r="G10" s="110"/>
      <x:c r="H10" s="110"/>
    </x:row>
    <x:row r="11">
      <x:c r="A11" s="118" t="str">
        <x:v>测试建议</x:v>
      </x:c>
      <x:c r="B11" s="119" t="str">
        <x:v>先修改黄色输入格，再观察绿色公式格</x:v>
      </x:c>
      <x:c r="C11" s="119" t="str">
        <x:v>可替换样例数量、价格和费用</x:v>
      </x:c>
      <x:c r="D11" s="120" t="str">
        <x:v>检查汇总是否联动变化</x:v>
      </x:c>
      <x:c r="E11" s="110"/>
      <x:c r="F11" s="110"/>
      <x:c r="G11" s="110"/>
      <x:c r="H11" s="110"/>
    </x:row>
    <x:row r="12">
      <x:c r="A12" s="110"/>
      <x:c r="B12" s="110"/>
      <x:c r="C12" s="110"/>
      <x:c r="D12" s="110"/>
      <x:c r="E12" s="110"/>
      <x:c r="F12" s="110"/>
      <x:c r="G12" s="110"/>
      <x:c r="H12" s="110"/>
    </x:row>
    <x:row r="13">
      <x:c r="A13" s="121" t="str">
        <x:v>颜色说明</x:v>
      </x:c>
      <x:c r="B13" s="121"/>
      <x:c r="C13" s="121"/>
      <x:c r="D13" s="121"/>
      <x:c r="E13" s="121"/>
      <x:c r="F13" s="121"/>
      <x:c r="G13" s="121"/>
      <x:c r="H13" s="121"/>
    </x:row>
    <x:row r="14">
      <x:c r="A14" s="122" t="str">
        <x:v>黄色</x:v>
      </x:c>
      <x:c r="B14" s="123" t="str">
        <x:v>可编辑输入</x:v>
      </x:c>
      <x:c r="C14" s="124"/>
      <x:c r="D14" s="124"/>
      <x:c r="E14" s="125" t="str">
        <x:v>绿色</x:v>
      </x:c>
      <x:c r="F14" s="125" t="str">
        <x:v>公式结果</x:v>
      </x:c>
      <x:c r="G14" s="124"/>
      <x:c r="H14" s="126"/>
    </x:row>
    <x:row r="15">
      <x:c r="A15" s="127" t="str">
        <x:v>红色/橙色</x:v>
      </x:c>
      <x:c r="B15" s="128" t="str">
        <x:v>库存异常或需要关注</x:v>
      </x:c>
      <x:c r="C15" s="129"/>
      <x:c r="D15" s="129"/>
      <x:c r="E15" s="130" t="str">
        <x:v>蓝色</x:v>
      </x:c>
      <x:c r="F15" s="130" t="str">
        <x:v>标题/分区</x:v>
      </x:c>
      <x:c r="G15" s="129"/>
      <x:c r="H15" s="131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30" customHeight="1">
      <x:c r="A1" s="178" t="str">
        <x:v>咖啡连锁经营汇总看板</x:v>
      </x:c>
      <x:c r="B1" s="178"/>
      <x:c r="C1" s="178"/>
      <x:c r="D1" s="178"/>
      <x:c r="E1" s="178"/>
      <x:c r="F1" s="178"/>
      <x:c r="G1" s="178"/>
      <x:c r="H1" s="178"/>
    </x:row>
    <x:row r="2" ht="24" customHeight="1">
      <x:c r="A2" s="109" t="str">
        <x:v>修改“统计日期”或下方黄色输入数据，汇总结果会自动联动。
</x:v>
      </x:c>
      <x:c r="B2" s="109" t="str">
        <x:v>修改“统计日期”或下方黄色输入数据，汇总结果会自动联动。
</x:v>
      </x:c>
      <x:c r="C2" s="109" t="str">
        <x:v>修改“统计日期”或下方黄色输入数据，汇总结果会自动联动。
</x:v>
      </x:c>
      <x:c r="D2" s="109" t="str">
        <x:v>修改“统计日期”或下方黄色输入数据，汇总结果会自动联动。
</x:v>
      </x:c>
      <x:c r="E2" s="109" t="str">
        <x:v>修改“统计日期”或下方黄色输入数据，汇总结果会自动联动。
</x:v>
      </x:c>
      <x:c r="F2" s="109" t="str">
        <x:v>修改“统计日期”或下方黄色输入数据，汇总结果会自动联动。
</x:v>
      </x:c>
      <x:c r="G2" s="109" t="str">
        <x:v>修改“统计日期”或下方黄色输入数据，汇总结果会自动联动。
</x:v>
      </x:c>
      <x:c r="H2" s="109" t="str">
        <x:v>修改“统计日期”或下方黄色输入数据，汇总结果会自动联动。
</x:v>
      </x:c>
    </x:row>
    <x:row r="3">
      <x:c r="A3" s="110"/>
      <x:c r="B3" s="110"/>
      <x:c r="C3" s="110"/>
      <x:c r="D3" s="110"/>
      <x:c r="E3" s="110"/>
      <x:c r="F3" s="110"/>
      <x:c r="G3" s="110"/>
      <x:c r="H3" s="110"/>
    </x:row>
    <x:row r="4">
      <x:c r="A4" s="132" t="str">
        <x:v>统计日期</x:v>
      </x:c>
      <x:c r="B4" s="133" t="n">
        <x:v>46250</x:v>
      </x:c>
      <x:c r="C4" s="110"/>
      <x:c r="D4" s="110"/>
      <x:c r="E4" s="110"/>
      <x:c r="F4" s="110"/>
      <x:c r="G4" s="110"/>
      <x:c r="H4" s="110"/>
    </x:row>
    <x:row r="5">
      <x:c r="A5" s="110"/>
      <x:c r="B5" s="110"/>
      <x:c r="C5" s="110"/>
      <x:c r="D5" s="110"/>
      <x:c r="E5" s="110"/>
      <x:c r="F5" s="110"/>
      <x:c r="G5" s="110"/>
      <x:c r="H5" s="110"/>
    </x:row>
    <x:row r="6" ht="28" customHeight="1">
      <x:c r="A6" s="179" t="str">
        <x:v>实收销售额</x:v>
      </x:c>
      <x:c r="B6" s="179" t="str">
        <x:v>毛利</x:v>
      </x:c>
      <x:c r="C6" s="179" t="str">
        <x:v>毛利率</x:v>
      </x:c>
      <x:c r="D6" s="179" t="str">
        <x:v>交易笔数</x:v>
      </x:c>
      <x:c r="E6" s="179" t="str">
        <x:v>平均客单价</x:v>
      </x:c>
      <x:c r="F6" s="179" t="str">
        <x:v>期末库存金额</x:v>
      </x:c>
      <x:c r="G6" s="179" t="str">
        <x:v>需补货 SKU</x:v>
      </x:c>
      <x:c r="H6" s="179" t="str">
        <x:v>营业门店数</x:v>
      </x:c>
    </x:row>
    <x:row r="7">
      <x:c r="A7" s="135" t="n">
        <x:f>ROUND(SUMIFS('门店经营日报'!$H$5:$H$16,'门店经营日报'!$A$5:$A$16,$B$4),2)</x:f>
        <x:v>12221.38</x:v>
      </x:c>
      <x:c r="B7" s="135" t="n">
        <x:f>ROUND(SUMIFS('门店经营日报'!$J$5:$J$16,'门店经营日报'!$A$5:$A$16,$B$4),2)</x:f>
        <x:v>8600.18</x:v>
      </x:c>
      <x:c r="C7" s="136" t="n">
        <x:f>ROUND(IFERROR(B7/A7,0),2)</x:f>
        <x:v>0.7</x:v>
      </x:c>
      <x:c r="D7" s="137" t="n">
        <x:f>SUMIFS('门店经营日报'!$F$5:$F$16,'门店经营日报'!$A$5:$A$16,$B$4)</x:f>
        <x:v>325</x:v>
      </x:c>
      <x:c r="E7" s="135" t="n">
        <x:f>ROUND(IFERROR(A7/D7,0),2)</x:f>
        <x:v>37.6</x:v>
      </x:c>
      <x:c r="F7" s="135" t="n">
        <x:f>ROUND(SUMIFS('库存清单'!$P$5:$P$52,'库存清单'!$A$5:$A$52,$B$4),2)</x:f>
        <x:v>22899.2</x:v>
      </x:c>
      <x:c r="G7" s="137" t="n">
        <x:f>COUNTIFS('库存清单'!$A$5:$A$52,$B$4,'库存清单'!$M$5:$M$52,"需补货")</x:f>
        <x:v>4</x:v>
      </x:c>
      <x:c r="H7" s="137" t="n">
        <x:f>COUNTIF('门店主数据'!$G$5:$G$8,"营业中")</x:f>
        <x:v>4</x:v>
      </x:c>
    </x:row>
    <x:row r="8">
      <x:c r="A8" s="110"/>
      <x:c r="B8" s="110"/>
      <x:c r="C8" s="110"/>
      <x:c r="D8" s="110"/>
      <x:c r="E8" s="110"/>
      <x:c r="F8" s="110"/>
      <x:c r="G8" s="110"/>
      <x:c r="H8" s="110"/>
    </x:row>
    <x:row r="9">
      <x:c r="A9" s="110"/>
      <x:c r="B9" s="110"/>
      <x:c r="C9" s="110"/>
      <x:c r="D9" s="110"/>
      <x:c r="E9" s="110"/>
      <x:c r="F9" s="110"/>
      <x:c r="G9" s="110"/>
      <x:c r="H9" s="110"/>
    </x:row>
    <x:row r="10">
      <x:c r="A10" s="121" t="str">
        <x:v>门店经营对比</x:v>
      </x:c>
      <x:c r="B10" s="121"/>
      <x:c r="C10" s="121"/>
      <x:c r="D10" s="121"/>
      <x:c r="E10" s="121"/>
      <x:c r="F10" s="121"/>
      <x:c r="G10" s="121"/>
      <x:c r="H10" s="121"/>
    </x:row>
    <x:row r="11" ht="28" customHeight="1">
      <x:c r="A11" s="179" t="str">
        <x:v>门店编码</x:v>
      </x:c>
      <x:c r="B11" s="179" t="str">
        <x:v>门店名称</x:v>
      </x:c>
      <x:c r="C11" s="179" t="str">
        <x:v>实收销售额</x:v>
      </x:c>
      <x:c r="D11" s="179" t="str">
        <x:v>毛利</x:v>
      </x:c>
      <x:c r="E11" s="179" t="str">
        <x:v>毛利率</x:v>
      </x:c>
      <x:c r="F11" s="179" t="str">
        <x:v>交易笔数</x:v>
      </x:c>
      <x:c r="G11" s="179" t="str">
        <x:v>平均客单价</x:v>
      </x:c>
      <x:c r="H11" s="179" t="str">
        <x:v>需补货 SKU</x:v>
      </x:c>
    </x:row>
    <x:row r="12">
      <x:c r="A12" s="138" t="str">
        <x:v>S001</x:v>
      </x:c>
      <x:c r="B12" s="181" t="str">
        <x:f>IFERROR(INDEX('门店主数据'!$B$5:$B$8,MATCH(A12,'门店主数据'!$A$5:$A$8,0)),"")</x:f>
        <x:v>人民广场店</x:v>
      </x:c>
      <x:c r="C12" s="184" t="n">
        <x:f>ROUND(SUMIFS('门店经营日报'!$H$5:$H$16,'门店经营日报'!$A$5:$A$16,$B$4,'门店经营日报'!$B$5:$B$16,$A12),2)</x:f>
        <x:v>3337.28</x:v>
      </x:c>
      <x:c r="D12" s="184" t="n">
        <x:f>ROUND(SUMIFS('门店经营日报'!$J$5:$J$16,'门店经营日报'!$A$5:$A$16,$B$4,'门店经营日报'!$B$5:$B$16,$A12),2)</x:f>
        <x:v>2356.58</x:v>
      </x:c>
      <x:c r="E12" s="188" t="n">
        <x:f>IFERROR(D12/C12,0)</x:f>
        <x:v>0.7061379326876978</x:v>
      </x:c>
      <x:c r="F12" s="187" t="n">
        <x:f>SUMIFS('门店经营日报'!$F$5:$F$16,'门店经营日报'!$A$5:$A$16,$B$4,'门店经营日报'!$B$5:$B$16,$A12)</x:f>
        <x:v>89</x:v>
      </x:c>
      <x:c r="G12" s="184" t="n">
        <x:f>ROUND(IFERROR(C12/F12,0),2)</x:f>
        <x:v>37.5</x:v>
      </x:c>
      <x:c r="H12" s="193" t="n">
        <x:f>COUNTIFS('库存清单'!$A$5:$A$52,$B$4,'库存清单'!$B$5:$B$52,$A12,'库存清单'!$M$5:$M$52,"需补货")</x:f>
        <x:v>0</x:v>
      </x:c>
    </x:row>
    <x:row r="13">
      <x:c r="A13" s="143" t="str">
        <x:v>S002</x:v>
      </x:c>
      <x:c r="B13" s="182" t="str">
        <x:f>IFERROR(INDEX('门店主数据'!$B$5:$B$8,MATCH(A13,'门店主数据'!$A$5:$A$8,0)),"")</x:f>
        <x:v>滨江店</x:v>
      </x:c>
      <x:c r="C13" s="185" t="n">
        <x:f>ROUND(SUMIFS('门店经营日报'!$H$5:$H$16,'门店经营日报'!$A$5:$A$16,$B$4,'门店经营日报'!$B$5:$B$16,$A13),2)</x:f>
        <x:v>2731.3</x:v>
      </x:c>
      <x:c r="D13" s="185" t="n">
        <x:f>ROUND(SUMIFS('门店经营日报'!$J$5:$J$16,'门店经营日报'!$A$5:$A$16,$B$4,'门店经营日报'!$B$5:$B$16,$A13),2)</x:f>
        <x:v>1920.1</x:v>
      </x:c>
      <x:c r="E13" s="190" t="n">
        <x:f>IFERROR(D13/C13,0)</x:f>
        <x:v>0.7029985721085197</x:v>
      </x:c>
      <x:c r="F13" s="189" t="n">
        <x:f>SUMIFS('门店经营日报'!$F$5:$F$16,'门店经营日报'!$A$5:$A$16,$B$4,'门店经营日报'!$B$5:$B$16,$A13)</x:f>
        <x:v>74</x:v>
      </x:c>
      <x:c r="G13" s="185" t="n">
        <x:f>ROUND(IFERROR(C13/F13,0),2)</x:f>
        <x:v>36.91</x:v>
      </x:c>
      <x:c r="H13" s="194" t="n">
        <x:f>COUNTIFS('库存清单'!$A$5:$A$52,$B$4,'库存清单'!$B$5:$B$52,$A13,'库存清单'!$M$5:$M$52,"需补货")</x:f>
        <x:v>0</x:v>
      </x:c>
    </x:row>
    <x:row r="14">
      <x:c r="A14" s="143" t="str">
        <x:v>S003</x:v>
      </x:c>
      <x:c r="B14" s="182" t="str">
        <x:f>IFERROR(INDEX('门店主数据'!$B$5:$B$8,MATCH(A14,'门店主数据'!$A$5:$A$8,0)),"")</x:f>
        <x:v>大学城店</x:v>
      </x:c>
      <x:c r="C14" s="185" t="n">
        <x:f>ROUND(SUMIFS('门店经营日报'!$H$5:$H$16,'门店经营日报'!$A$5:$A$16,$B$4,'门店经营日报'!$B$5:$B$16,$A14),2)</x:f>
        <x:v>2552.32</x:v>
      </x:c>
      <x:c r="D14" s="185" t="n">
        <x:f>ROUND(SUMIFS('门店经营日报'!$J$5:$J$16,'门店经营日报'!$A$5:$A$16,$B$4,'门店经营日报'!$B$5:$B$16,$A14),2)</x:f>
        <x:v>1784.72</x:v>
      </x:c>
      <x:c r="E14" s="190" t="n">
        <x:f>IFERROR(D14/C14,0)</x:f>
        <x:v>0.6992540120361083</x:v>
      </x:c>
      <x:c r="F14" s="189" t="n">
        <x:f>SUMIFS('门店经营日报'!$F$5:$F$16,'门店经营日报'!$A$5:$A$16,$B$4,'门店经营日报'!$B$5:$B$16,$A14)</x:f>
        <x:v>66</x:v>
      </x:c>
      <x:c r="G14" s="185" t="n">
        <x:f>ROUND(IFERROR(C14/F14,0),2)</x:f>
        <x:v>38.67</x:v>
      </x:c>
      <x:c r="H14" s="194" t="n">
        <x:f>COUNTIFS('库存清单'!$A$5:$A$52,$B$4,'库存清单'!$B$5:$B$52,$A14,'库存清单'!$M$5:$M$52,"需补货")</x:f>
        <x:v>1</x:v>
      </x:c>
    </x:row>
    <x:row r="15">
      <x:c r="A15" s="148" t="str">
        <x:v>S004</x:v>
      </x:c>
      <x:c r="B15" s="183" t="str">
        <x:f>IFERROR(INDEX('门店主数据'!$B$5:$B$8,MATCH(A15,'门店主数据'!$A$5:$A$8,0)),"")</x:f>
        <x:v>机场店</x:v>
      </x:c>
      <x:c r="C15" s="186" t="n">
        <x:f>ROUND(SUMIFS('门店经营日报'!$H$5:$H$16,'门店经营日报'!$A$5:$A$16,$B$4,'门店经营日报'!$B$5:$B$16,$A15),2)</x:f>
        <x:v>3600.48</x:v>
      </x:c>
      <x:c r="D15" s="186" t="n">
        <x:f>ROUND(SUMIFS('门店经营日报'!$J$5:$J$16,'门店经营日报'!$A$5:$A$16,$B$4,'门店经营日报'!$B$5:$B$16,$A15),2)</x:f>
        <x:v>2538.78</x:v>
      </x:c>
      <x:c r="E15" s="192" t="n">
        <x:f>IFERROR(D15/C15,0)</x:f>
        <x:v>0.7051226503132916</x:v>
      </x:c>
      <x:c r="F15" s="191" t="n">
        <x:f>SUMIFS('门店经营日报'!$F$5:$F$16,'门店经营日报'!$A$5:$A$16,$B$4,'门店经营日报'!$B$5:$B$16,$A15)</x:f>
        <x:v>96</x:v>
      </x:c>
      <x:c r="G15" s="186" t="n">
        <x:f>ROUND(IFERROR(C15/F15,0),2)</x:f>
        <x:v>37.51</x:v>
      </x:c>
      <x:c r="H15" s="195" t="n">
        <x:f>COUNTIFS('库存清单'!$A$5:$A$52,$B$4,'库存清单'!$B$5:$B$52,$A15,'库存清单'!$M$5:$M$52,"需补货")</x:f>
        <x:v>3</x:v>
      </x:c>
    </x:row>
    <x:row r="16">
      <x:c r="A16" s="110"/>
      <x:c r="B16" s="110"/>
      <x:c r="C16" s="110"/>
      <x:c r="D16" s="110"/>
      <x:c r="E16" s="110"/>
      <x:c r="F16" s="110"/>
      <x:c r="G16" s="110"/>
      <x:c r="H16" s="110"/>
    </x:row>
    <x:row r="17">
      <x:c r="A17" s="110"/>
      <x:c r="B17" s="110"/>
      <x:c r="C17" s="110"/>
      <x:c r="D17" s="110"/>
      <x:c r="E17" s="110"/>
      <x:c r="F17" s="110"/>
      <x:c r="G17" s="110"/>
      <x:c r="H17" s="110"/>
    </x:row>
    <x:row r="18">
      <x:c r="A18" s="121" t="str">
        <x:v>商品类别销售汇总</x:v>
      </x:c>
      <x:c r="B18" s="121"/>
      <x:c r="C18" s="121"/>
      <x:c r="D18" s="121"/>
      <x:c r="E18" s="121" t="str">
        <x:v>最近三日销售趋势</x:v>
      </x:c>
      <x:c r="F18" s="121"/>
      <x:c r="G18" s="121"/>
      <x:c r="H18" s="121"/>
    </x:row>
    <x:row r="19" ht="28" customHeight="1">
      <x:c r="A19" s="179" t="str">
        <x:v>类别</x:v>
      </x:c>
      <x:c r="B19" s="179" t="str">
        <x:v>实收销售额</x:v>
      </x:c>
      <x:c r="C19" s="179" t="str">
        <x:v>销售数量</x:v>
      </x:c>
      <x:c r="D19" s="179" t="str">
        <x:v>毛利</x:v>
      </x:c>
      <x:c r="E19" s="179" t="str">
        <x:v>日期</x:v>
      </x:c>
      <x:c r="F19" s="179" t="str">
        <x:v>实收销售额</x:v>
      </x:c>
      <x:c r="G19" s="179" t="str">
        <x:v>交易笔数</x:v>
      </x:c>
      <x:c r="H19" s="179" t="str">
        <x:v>平均客单价</x:v>
      </x:c>
    </x:row>
    <x:row r="20">
      <x:c r="A20" s="138" t="str">
        <x:v>咖啡</x:v>
      </x:c>
      <x:c r="B20" s="184" t="n">
        <x:f>ROUND(SUMIFS('商品销售日报'!$L$5:$L$148,'商品销售日报'!$A$5:$A$148,$B$4,'商品销售日报'!$F$5:$F$148,$A20),2)</x:f>
        <x:v>8608.2</x:v>
      </x:c>
      <x:c r="C20" s="187" t="n">
        <x:f>SUMIFS('商品销售日报'!$I$5:$I$148,'商品销售日报'!$A$5:$A$148,$B$4,'商品销售日报'!$F$5:$F$148,$A20)</x:f>
        <x:v>304</x:v>
      </x:c>
      <x:c r="D20" s="196" t="n">
        <x:f>ROUND(SUMIFS('商品销售日报'!$O$5:$O$148,'商品销售日报'!$A$5:$A$148,$B$4,'商品销售日报'!$F$5:$F$148,$A20),2)</x:f>
        <x:v>6287.2</x:v>
      </x:c>
      <x:c r="E20" s="154" t="n">
        <x:v>46248</x:v>
      </x:c>
      <x:c r="F20" s="184" t="n">
        <x:f>ROUND(SUMIFS('门店经营日报'!$H$5:$H$16,'门店经营日报'!$A$5:$A$16,E20),2)</x:f>
        <x:v>10056.69</x:v>
      </x:c>
      <x:c r="G20" s="187" t="n">
        <x:f>SUMIFS('门店经营日报'!$F$5:$F$16,'门店经营日报'!$A$5:$A$16,E20)</x:f>
        <x:v>269</x:v>
      </x:c>
      <x:c r="H20" s="196" t="n">
        <x:f>ROUND(IFERROR(F20/G20,0),2)</x:f>
        <x:v>37.39</x:v>
      </x:c>
    </x:row>
    <x:row r="21">
      <x:c r="A21" s="143" t="str">
        <x:v>茶饮</x:v>
      </x:c>
      <x:c r="B21" s="185" t="n">
        <x:f>ROUND(SUMIFS('商品销售日报'!$L$5:$L$148,'商品销售日报'!$A$5:$A$148,$B$4,'商品销售日报'!$F$5:$F$148,$A21),2)</x:f>
        <x:v>816</x:v>
      </x:c>
      <x:c r="C21" s="189" t="n">
        <x:f>SUMIFS('商品销售日报'!$I$5:$I$148,'商品销售日报'!$A$5:$A$148,$B$4,'商品销售日报'!$F$5:$F$148,$A21)</x:f>
        <x:v>25</x:v>
      </x:c>
      <x:c r="D21" s="197" t="n">
        <x:f>ROUND(SUMIFS('商品销售日报'!$O$5:$O$148,'商品销售日报'!$A$5:$A$148,$B$4,'商品销售日报'!$F$5:$F$148,$A21),2)</x:f>
        <x:v>591</x:v>
      </x:c>
      <x:c r="E21" s="156" t="n">
        <x:v>46249</x:v>
      </x:c>
      <x:c r="F21" s="185" t="n">
        <x:f>ROUND(SUMIFS('门店经营日报'!$H$5:$H$16,'门店经营日报'!$A$5:$A$16,E21),2)</x:f>
        <x:v>10745.67</x:v>
      </x:c>
      <x:c r="G21" s="189" t="n">
        <x:f>SUMIFS('门店经营日报'!$F$5:$F$16,'门店经营日报'!$A$5:$A$16,E21)</x:f>
        <x:v>286</x:v>
      </x:c>
      <x:c r="H21" s="197" t="n">
        <x:f>ROUND(IFERROR(F21/G21,0),2)</x:f>
        <x:v>37.57</x:v>
      </x:c>
    </x:row>
    <x:row r="22">
      <x:c r="A22" s="143" t="str">
        <x:v>烘焙</x:v>
      </x:c>
      <x:c r="B22" s="185" t="n">
        <x:f>ROUND(SUMIFS('商品销售日报'!$L$5:$L$148,'商品销售日报'!$A$5:$A$148,$B$4,'商品销售日报'!$F$5:$F$148,$A22),2)</x:f>
        <x:v>2025.46</x:v>
      </x:c>
      <x:c r="C22" s="189" t="n">
        <x:f>SUMIFS('商品销售日报'!$I$5:$I$148,'商品销售日报'!$A$5:$A$148,$B$4,'商品销售日报'!$F$5:$F$148,$A22)</x:f>
        <x:v>101</x:v>
      </x:c>
      <x:c r="D22" s="197" t="n">
        <x:f>ROUND(SUMIFS('商品销售日报'!$O$5:$O$148,'商品销售日报'!$A$5:$A$148,$B$4,'商品销售日报'!$F$5:$F$148,$A22),2)</x:f>
        <x:v>1274.46</x:v>
      </x:c>
      <x:c r="E22" s="157" t="n">
        <x:v>46250</x:v>
      </x:c>
      <x:c r="F22" s="186" t="n">
        <x:f>ROUND(SUMIFS('门店经营日报'!$H$5:$H$16,'门店经营日报'!$A$5:$A$16,E22),2)</x:f>
        <x:v>12221.38</x:v>
      </x:c>
      <x:c r="G22" s="191" t="n">
        <x:f>SUMIFS('门店经营日报'!$F$5:$F$16,'门店经营日报'!$A$5:$A$16,E22)</x:f>
        <x:v>325</x:v>
      </x:c>
      <x:c r="H22" s="198" t="n">
        <x:f>ROUND(IFERROR(F22/G22,0),2)</x:f>
        <x:v>37.6</x:v>
      </x:c>
    </x:row>
    <x:row r="23">
      <x:c r="A23" s="143" t="str">
        <x:v>轻食</x:v>
      </x:c>
      <x:c r="B23" s="185" t="n">
        <x:f>ROUND(SUMIFS('商品销售日报'!$L$5:$L$148,'商品销售日报'!$A$5:$A$148,$B$4,'商品销售日报'!$F$5:$F$148,$A23),2)</x:f>
        <x:v>704.32</x:v>
      </x:c>
      <x:c r="C23" s="189" t="n">
        <x:f>SUMIFS('商品销售日报'!$I$5:$I$148,'商品销售日报'!$A$5:$A$148,$B$4,'商品销售日报'!$F$5:$F$148,$A23)</x:f>
        <x:v>23</x:v>
      </x:c>
      <x:c r="D23" s="197" t="n">
        <x:f>ROUND(SUMIFS('商品销售日报'!$O$5:$O$148,'商品销售日报'!$A$5:$A$148,$B$4,'商品销售日报'!$F$5:$F$148,$A23),2)</x:f>
        <x:v>405.32</x:v>
      </x:c>
      <x:c r="E23" s="110"/>
      <x:c r="F23" s="110"/>
      <x:c r="G23" s="110"/>
      <x:c r="H23" s="110"/>
    </x:row>
    <x:row r="24">
      <x:c r="A24" s="148" t="str">
        <x:v>加料</x:v>
      </x:c>
      <x:c r="B24" s="186" t="n">
        <x:f>ROUND(SUMIFS('商品销售日报'!$L$5:$L$148,'商品销售日报'!$A$5:$A$148,$B$4,'商品销售日报'!$F$5:$F$148,$A24),2)</x:f>
        <x:v>67.4</x:v>
      </x:c>
      <x:c r="C24" s="191" t="n">
        <x:f>SUMIFS('商品销售日报'!$I$5:$I$148,'商品销售日报'!$A$5:$A$148,$B$4,'商品销售日报'!$F$5:$F$148,$A24)</x:f>
        <x:v>14</x:v>
      </x:c>
      <x:c r="D24" s="198" t="n">
        <x:f>ROUND(SUMIFS('商品销售日报'!$O$5:$O$148,'商品销售日报'!$A$5:$A$148,$B$4,'商品销售日报'!$F$5:$F$148,$A24),2)</x:f>
        <x:v>42.2</x:v>
      </x:c>
      <x:c r="E24" s="110"/>
      <x:c r="F24" s="110"/>
      <x:c r="G24" s="110"/>
      <x:c r="H24" s="110"/>
    </x:row>
    <x:row r="25">
      <x:c r="A25" s="110"/>
      <x:c r="B25" s="110"/>
      <x:c r="C25" s="110"/>
      <x:c r="D25" s="110"/>
      <x:c r="E25" s="110"/>
      <x:c r="F25" s="110"/>
      <x:c r="G25" s="110"/>
      <x:c r="H25" s="110"/>
    </x:row>
    <x:row r="26">
      <x:c r="A26" s="110"/>
      <x:c r="B26" s="110"/>
      <x:c r="C26" s="110"/>
      <x:c r="D26" s="110"/>
      <x:c r="E26" s="110"/>
      <x:c r="F26" s="110"/>
      <x:c r="G26" s="110"/>
      <x:c r="H26" s="110"/>
    </x:row>
    <x:row r="27" ht="24" customHeight="1">
      <x:c r="A27" s="159" t="str">
        <x:v>测试提示：可以把“汇总看板”B4 改成 2026-08-14、2026-08-15 或 2026-08-16，观察门店和类别指标切换。</x:v>
      </x:c>
      <x:c r="B27" s="159"/>
      <x:c r="C27" s="159"/>
      <x:c r="D27" s="159"/>
      <x:c r="E27" s="159"/>
      <x:c r="F27" s="159"/>
      <x:c r="G27" s="159"/>
      <x:c r="H27" s="159"/>
    </x:row>
  </x:sheetData>
  <x:mergeCells>
    <x:mergeCell ref="A1:H1"/>
    <x:mergeCell ref="A2:H2"/>
    <x:mergeCell ref="A10:H10"/>
    <x:mergeCell ref="A18:D18"/>
    <x:mergeCell ref="E18:H18"/>
    <x:mergeCell ref="A27:H27"/>
  </x:mergeCells>
  <x:conditionalFormatting sqref="H12:H15">
    <x:cfRule type="cellIs" dxfId="3" priority="1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3" hidden="0" customWidth="1"/>
    <x:col min="13" max="13" width="12" hidden="0" customWidth="1"/>
    <x:col min="14" max="14" width="12" hidden="0" customWidth="1"/>
    <x:col min="15" max="15" width="13" hidden="0" customWidth="1"/>
    <x:col min="16" max="16" width="18" hidden="0" customWidth="1"/>
  </x:cols>
  <x:sheetData>
    <x:row r="1" ht="30" customHeight="1">
      <x:c r="A1" s="178" t="str">
        <x:v>门店经营日报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</x:row>
    <x:row r="2" ht="24" customHeight="1">
      <x:c r="A2" s="109" t="str">
        <x:v>日报中的销售、成本、毛利和交易笔数来自“商品销售日报”；黄色列可手工测试。
</x:v>
      </x:c>
      <x:c r="B2" s="109" t="str">
        <x:v>日报中的销售、成本、毛利和交易笔数来自“商品销售日报”；黄色列可手工测试。
</x:v>
      </x:c>
      <x:c r="C2" s="109" t="str">
        <x:v>日报中的销售、成本、毛利和交易笔数来自“商品销售日报”；黄色列可手工测试。
</x:v>
      </x:c>
      <x:c r="D2" s="109" t="str">
        <x:v>日报中的销售、成本、毛利和交易笔数来自“商品销售日报”；黄色列可手工测试。
</x:v>
      </x:c>
      <x:c r="E2" s="109" t="str">
        <x:v>日报中的销售、成本、毛利和交易笔数来自“商品销售日报”；黄色列可手工测试。
</x:v>
      </x:c>
      <x:c r="F2" s="109" t="str">
        <x:v>日报中的销售、成本、毛利和交易笔数来自“商品销售日报”；黄色列可手工测试。
</x:v>
      </x:c>
      <x:c r="G2" s="109" t="str">
        <x:v>日报中的销售、成本、毛利和交易笔数来自“商品销售日报”；黄色列可手工测试。
</x:v>
      </x:c>
      <x:c r="H2" s="109" t="str">
        <x:v>日报中的销售、成本、毛利和交易笔数来自“商品销售日报”；黄色列可手工测试。
</x:v>
      </x:c>
      <x:c r="I2" s="109" t="str">
        <x:v>日报中的销售、成本、毛利和交易笔数来自“商品销售日报”；黄色列可手工测试。
</x:v>
      </x:c>
      <x:c r="J2" s="109" t="str">
        <x:v>日报中的销售、成本、毛利和交易笔数来自“商品销售日报”；黄色列可手工测试。
</x:v>
      </x:c>
      <x:c r="K2" s="109" t="str">
        <x:v>日报中的销售、成本、毛利和交易笔数来自“商品销售日报”；黄色列可手工测试。
</x:v>
      </x:c>
      <x:c r="L2" s="109" t="str">
        <x:v>日报中的销售、成本、毛利和交易笔数来自“商品销售日报”；黄色列可手工测试。
</x:v>
      </x:c>
      <x:c r="M2" s="109" t="str">
        <x:v>日报中的销售、成本、毛利和交易笔数来自“商品销售日报”；黄色列可手工测试。
</x:v>
      </x:c>
      <x:c r="N2" s="109" t="str">
        <x:v>日报中的销售、成本、毛利和交易笔数来自“商品销售日报”；黄色列可手工测试。
</x:v>
      </x:c>
      <x:c r="O2" s="109" t="str">
        <x:v>日报中的销售、成本、毛利和交易笔数来自“商品销售日报”；黄色列可手工测试。
</x:v>
      </x:c>
      <x:c r="P2" s="109" t="str">
        <x:v>日报中的销售、成本、毛利和交易笔数来自“商品销售日报”；黄色列可手工测试。
</x:v>
      </x:c>
    </x:row>
    <x:row r="3">
      <x:c r="A3" s="110"/>
      <x:c r="B3" s="110"/>
      <x:c r="C3" s="110"/>
      <x:c r="D3" s="110"/>
      <x:c r="E3" s="110"/>
      <x:c r="F3" s="110"/>
      <x:c r="G3" s="110"/>
      <x:c r="H3" s="110"/>
      <x:c r="I3" s="110"/>
      <x:c r="J3" s="110"/>
      <x:c r="K3" s="110"/>
      <x:c r="L3" s="110"/>
      <x:c r="M3" s="110"/>
      <x:c r="N3" s="110"/>
      <x:c r="O3" s="110"/>
      <x:c r="P3" s="110"/>
    </x:row>
    <x:row r="4" ht="28" customHeight="1">
      <x:c r="A4" s="179" t="str">
        <x:v>日期</x:v>
      </x:c>
      <x:c r="B4" s="179" t="str">
        <x:v>门店编码</x:v>
      </x:c>
      <x:c r="C4" s="179" t="str">
        <x:v>门店名称</x:v>
      </x:c>
      <x:c r="D4" s="179" t="str">
        <x:v>营业状态</x:v>
      </x:c>
      <x:c r="E4" s="179" t="str">
        <x:v>营业小时</x:v>
      </x:c>
      <x:c r="F4" s="179" t="str">
        <x:v>交易笔数</x:v>
      </x:c>
      <x:c r="G4" s="179" t="str">
        <x:v>销售数量</x:v>
      </x:c>
      <x:c r="H4" s="179" t="str">
        <x:v>实收销售额</x:v>
      </x:c>
      <x:c r="I4" s="179" t="str">
        <x:v>销售成本</x:v>
      </x:c>
      <x:c r="J4" s="179" t="str">
        <x:v>毛利</x:v>
      </x:c>
      <x:c r="K4" s="179" t="str">
        <x:v>毛利率</x:v>
      </x:c>
      <x:c r="L4" s="179" t="str">
        <x:v>平均客单价</x:v>
      </x:c>
      <x:c r="M4" s="179" t="str">
        <x:v>退货金额</x:v>
      </x:c>
      <x:c r="N4" s="179" t="str">
        <x:v>门店费用</x:v>
      </x:c>
      <x:c r="O4" s="179" t="str">
        <x:v>经营利润</x:v>
      </x:c>
      <x:c r="P4" s="179" t="str">
        <x:v>备注</x:v>
      </x:c>
    </x:row>
    <x:row r="5">
      <x:c r="A5" s="160" t="n">
        <x:v>46248</x:v>
      </x:c>
      <x:c r="B5" s="161" t="str">
        <x:v>S001</x:v>
      </x:c>
      <x:c r="C5" s="181" t="str">
        <x:f>IFERROR(INDEX('门店主数据'!$B$5:$B$8,MATCH(B5,'门店主数据'!$A$5:$A$8,0)),"")</x:f>
        <x:v>人民广场店</x:v>
      </x:c>
      <x:c r="D5" s="161" t="str">
        <x:v>营业</x:v>
      </x:c>
      <x:c r="E5" s="162" t="n">
        <x:v>12</x:v>
      </x:c>
      <x:c r="F5" s="187" t="n">
        <x:f>SUMIFS('商品销售日报'!$H$5:$H$148,'商品销售日报'!$A$5:$A$148,$A5,'商品销售日报'!$B$5:$B$148,$B5)</x:f>
        <x:v>74</x:v>
      </x:c>
      <x:c r="G5" s="187" t="n">
        <x:f>SUMIFS('商品销售日报'!$I$5:$I$148,'商品销售日报'!$A$5:$A$148,$A5,'商品销售日报'!$B$5:$B$148,$B5)</x:f>
        <x:v>105</x:v>
      </x:c>
      <x:c r="H5" s="184" t="n">
        <x:f>ROUND(SUMIFS('商品销售日报'!$L$5:$L$148,'商品销售日报'!$A$5:$A$148,$A5,'商品销售日报'!$B$5:$B$148,$B5),2)</x:f>
        <x:v>2732.4</x:v>
      </x:c>
      <x:c r="I5" s="184" t="n">
        <x:f>ROUND(SUMIFS('商品销售日报'!$N$5:$N$148,'商品销售日报'!$A$5:$A$148,$A5,'商品销售日报'!$B$5:$B$148,$B5),2)</x:f>
        <x:v>811.2</x:v>
      </x:c>
      <x:c r="J5" s="184" t="n">
        <x:f>ROUND(H5-I5,2)</x:f>
        <x:v>1921.2</x:v>
      </x:c>
      <x:c r="K5" s="188" t="n">
        <x:f>IFERROR(J5/H5,0)</x:f>
        <x:v>0.7031181379007466</x:v>
      </x:c>
      <x:c r="L5" s="184" t="n">
        <x:f>ROUND(IFERROR(H5/F5,0),2)</x:f>
        <x:v>36.92</x:v>
      </x:c>
      <x:c r="M5" s="163" t="n">
        <x:v>0</x:v>
      </x:c>
      <x:c r="N5" s="163" t="n">
        <x:v>820</x:v>
      </x:c>
      <x:c r="O5" s="184" t="n">
        <x:f>ROUND(J5-M5-N5,2)</x:f>
        <x:v>1101.2</x:v>
      </x:c>
      <x:c r="P5" s="164" t="str"/>
    </x:row>
    <x:row r="6">
      <x:c r="A6" s="165" t="n">
        <x:v>46248</x:v>
      </x:c>
      <x:c r="B6" s="166" t="str">
        <x:v>S002</x:v>
      </x:c>
      <x:c r="C6" s="182" t="str">
        <x:f>IFERROR(INDEX('门店主数据'!$B$5:$B$8,MATCH(B6,'门店主数据'!$A$5:$A$8,0)),"")</x:f>
        <x:v>滨江店</x:v>
      </x:c>
      <x:c r="D6" s="166" t="str">
        <x:v>营业</x:v>
      </x:c>
      <x:c r="E6" s="167" t="n">
        <x:v>12</x:v>
      </x:c>
      <x:c r="F6" s="189" t="n">
        <x:f>SUMIFS('商品销售日报'!$H$5:$H$148,'商品销售日报'!$A$5:$A$148,$A6,'商品销售日报'!$B$5:$B$148,$B6)</x:f>
        <x:v>61</x:v>
      </x:c>
      <x:c r="G6" s="189" t="n">
        <x:f>SUMIFS('商品销售日报'!$I$5:$I$148,'商品销售日报'!$A$5:$A$148,$A6,'商品销售日报'!$B$5:$B$148,$B6)</x:f>
        <x:v>87</x:v>
      </x:c>
      <x:c r="H6" s="185" t="n">
        <x:f>ROUND(SUMIFS('商品销售日报'!$L$5:$L$148,'商品销售日报'!$A$5:$A$148,$A6,'商品销售日报'!$B$5:$B$148,$B6),2)</x:f>
        <x:v>2335.68</x:v>
      </x:c>
      <x:c r="I6" s="185" t="n">
        <x:f>ROUND(SUMIFS('商品销售日报'!$N$5:$N$148,'商品销售日报'!$A$5:$A$148,$A6,'商品销售日报'!$B$5:$B$148,$B6),2)</x:f>
        <x:v>702.6</x:v>
      </x:c>
      <x:c r="J6" s="185" t="n">
        <x:f>ROUND(H6-I6,2)</x:f>
        <x:v>1633.08</x:v>
      </x:c>
      <x:c r="K6" s="190" t="n">
        <x:f>IFERROR(J6/H6,0)</x:f>
        <x:v>0.6991882449650637</x:v>
      </x:c>
      <x:c r="L6" s="185" t="n">
        <x:f>ROUND(IFERROR(H6/F6,0),2)</x:f>
        <x:v>38.29</x:v>
      </x:c>
      <x:c r="M6" s="168" t="n">
        <x:v>0</x:v>
      </x:c>
      <x:c r="N6" s="168" t="n">
        <x:v>890</x:v>
      </x:c>
      <x:c r="O6" s="185" t="n">
        <x:f>ROUND(J6-M6-N6,2)</x:f>
        <x:v>743.08</x:v>
      </x:c>
      <x:c r="P6" s="169" t="str"/>
    </x:row>
    <x:row r="7">
      <x:c r="A7" s="165" t="n">
        <x:v>46248</x:v>
      </x:c>
      <x:c r="B7" s="166" t="str">
        <x:v>S003</x:v>
      </x:c>
      <x:c r="C7" s="182" t="str">
        <x:f>IFERROR(INDEX('门店主数据'!$B$5:$B$8,MATCH(B7,'门店主数据'!$A$5:$A$8,0)),"")</x:f>
        <x:v>大学城店</x:v>
      </x:c>
      <x:c r="D7" s="166" t="str">
        <x:v>营业</x:v>
      </x:c>
      <x:c r="E7" s="167" t="n">
        <x:v>12</x:v>
      </x:c>
      <x:c r="F7" s="189" t="n">
        <x:f>SUMIFS('商品销售日报'!$H$5:$H$148,'商品销售日报'!$A$5:$A$148,$A7,'商品销售日报'!$B$5:$B$148,$B7)</x:f>
        <x:v>54</x:v>
      </x:c>
      <x:c r="G7" s="189" t="n">
        <x:f>SUMIFS('商品销售日报'!$I$5:$I$148,'商品销售日报'!$A$5:$A$148,$A7,'商品销售日报'!$B$5:$B$148,$B7)</x:f>
        <x:v>77</x:v>
      </x:c>
      <x:c r="H7" s="185" t="n">
        <x:f>ROUND(SUMIFS('商品销售日报'!$L$5:$L$148,'商品销售日报'!$A$5:$A$148,$A7,'商品销售日报'!$B$5:$B$148,$B7),2)</x:f>
        <x:v>1999.54</x:v>
      </x:c>
      <x:c r="I7" s="185" t="n">
        <x:f>ROUND(SUMIFS('商品销售日报'!$N$5:$N$148,'商品销售日报'!$A$5:$A$148,$A7,'商品销售日报'!$B$5:$B$148,$B7),2)</x:f>
        <x:v>583.6</x:v>
      </x:c>
      <x:c r="J7" s="185" t="n">
        <x:f>ROUND(H7-I7,2)</x:f>
        <x:v>1415.94</x:v>
      </x:c>
      <x:c r="K7" s="190" t="n">
        <x:f>IFERROR(J7/H7,0)</x:f>
        <x:v>0.7081328705602289</x:v>
      </x:c>
      <x:c r="L7" s="185" t="n">
        <x:f>ROUND(IFERROR(H7/F7,0),2)</x:f>
        <x:v>37.03</x:v>
      </x:c>
      <x:c r="M7" s="168" t="n">
        <x:v>0</x:v>
      </x:c>
      <x:c r="N7" s="168" t="n">
        <x:v>960</x:v>
      </x:c>
      <x:c r="O7" s="185" t="n">
        <x:f>ROUND(J7-M7-N7,2)</x:f>
        <x:v>455.94</x:v>
      </x:c>
      <x:c r="P7" s="169" t="str"/>
    </x:row>
    <x:row r="8">
      <x:c r="A8" s="165" t="n">
        <x:v>46248</x:v>
      </x:c>
      <x:c r="B8" s="166" t="str">
        <x:v>S004</x:v>
      </x:c>
      <x:c r="C8" s="182" t="str">
        <x:f>IFERROR(INDEX('门店主数据'!$B$5:$B$8,MATCH(B8,'门店主数据'!$A$5:$A$8,0)),"")</x:f>
        <x:v>机场店</x:v>
      </x:c>
      <x:c r="D8" s="166" t="str">
        <x:v>营业</x:v>
      </x:c>
      <x:c r="E8" s="167" t="n">
        <x:v>12</x:v>
      </x:c>
      <x:c r="F8" s="189" t="n">
        <x:f>SUMIFS('商品销售日报'!$H$5:$H$148,'商品销售日报'!$A$5:$A$148,$A8,'商品销售日报'!$B$5:$B$148,$B8)</x:f>
        <x:v>80</x:v>
      </x:c>
      <x:c r="G8" s="189" t="n">
        <x:f>SUMIFS('商品销售日报'!$I$5:$I$148,'商品销售日报'!$A$5:$A$148,$A8,'商品销售日报'!$B$5:$B$148,$B8)</x:f>
        <x:v>115</x:v>
      </x:c>
      <x:c r="H8" s="185" t="n">
        <x:f>ROUND(SUMIFS('商品销售日报'!$L$5:$L$148,'商品销售日报'!$A$5:$A$148,$A8,'商品销售日报'!$B$5:$B$148,$B8),2)</x:f>
        <x:v>2989.07</x:v>
      </x:c>
      <x:c r="I8" s="185" t="n">
        <x:f>ROUND(SUMIFS('商品销售日报'!$N$5:$N$148,'商品销售日报'!$A$5:$A$148,$A8,'商品销售日报'!$B$5:$B$148,$B8),2)</x:f>
        <x:v>894</x:v>
      </x:c>
      <x:c r="J8" s="185" t="n">
        <x:f>ROUND(H8-I8,2)</x:f>
        <x:v>2095.07</x:v>
      </x:c>
      <x:c r="K8" s="190" t="n">
        <x:f>IFERROR(J8/H8,0)</x:f>
        <x:v>0.7009103165867645</x:v>
      </x:c>
      <x:c r="L8" s="185" t="n">
        <x:f>ROUND(IFERROR(H8/F8,0),2)</x:f>
        <x:v>37.36</x:v>
      </x:c>
      <x:c r="M8" s="168" t="n">
        <x:v>0</x:v>
      </x:c>
      <x:c r="N8" s="168" t="n">
        <x:v>1030</x:v>
      </x:c>
      <x:c r="O8" s="185" t="n">
        <x:f>ROUND(J8-M8-N8,2)</x:f>
        <x:v>1065.07</x:v>
      </x:c>
      <x:c r="P8" s="169" t="str"/>
    </x:row>
    <x:row r="9">
      <x:c r="A9" s="165" t="n">
        <x:v>46249</x:v>
      </x:c>
      <x:c r="B9" s="166" t="str">
        <x:v>S001</x:v>
      </x:c>
      <x:c r="C9" s="182" t="str">
        <x:f>IFERROR(INDEX('门店主数据'!$B$5:$B$8,MATCH(B9,'门店主数据'!$A$5:$A$8,0)),"")</x:f>
        <x:v>人民广场店</x:v>
      </x:c>
      <x:c r="D9" s="166" t="str">
        <x:v>营业</x:v>
      </x:c>
      <x:c r="E9" s="167" t="n">
        <x:v>12</x:v>
      </x:c>
      <x:c r="F9" s="189" t="n">
        <x:f>SUMIFS('商品销售日报'!$H$5:$H$148,'商品销售日报'!$A$5:$A$148,$A9,'商品销售日报'!$B$5:$B$148,$B9)</x:f>
        <x:v>78</x:v>
      </x:c>
      <x:c r="G9" s="189" t="n">
        <x:f>SUMIFS('商品销售日报'!$I$5:$I$148,'商品销售日报'!$A$5:$A$148,$A9,'商品销售日报'!$B$5:$B$148,$B9)</x:f>
        <x:v>111</x:v>
      </x:c>
      <x:c r="H9" s="185" t="n">
        <x:f>ROUND(SUMIFS('商品销售日报'!$L$5:$L$148,'商品销售日报'!$A$5:$A$148,$A9,'商品销售日报'!$B$5:$B$148,$B9),2)</x:f>
        <x:v>2974.56</x:v>
      </x:c>
      <x:c r="I9" s="185" t="n">
        <x:f>ROUND(SUMIFS('商品销售日报'!$N$5:$N$148,'商品销售日报'!$A$5:$A$148,$A9,'商品销售日报'!$B$5:$B$148,$B9),2)</x:f>
        <x:v>891.1</x:v>
      </x:c>
      <x:c r="J9" s="185" t="n">
        <x:f>ROUND(H9-I9,2)</x:f>
        <x:v>2083.46</x:v>
      </x:c>
      <x:c r="K9" s="190" t="n">
        <x:f>IFERROR(J9/H9,0)</x:f>
        <x:v>0.7004262815340756</x:v>
      </x:c>
      <x:c r="L9" s="185" t="n">
        <x:f>ROUND(IFERROR(H9/F9,0),2)</x:f>
        <x:v>38.14</x:v>
      </x:c>
      <x:c r="M9" s="168" t="n">
        <x:v>0</x:v>
      </x:c>
      <x:c r="N9" s="168" t="n">
        <x:v>835</x:v>
      </x:c>
      <x:c r="O9" s="185" t="n">
        <x:f>ROUND(J9-M9-N9,2)</x:f>
        <x:v>1248.46</x:v>
      </x:c>
      <x:c r="P9" s="169" t="str"/>
    </x:row>
    <x:row r="10">
      <x:c r="A10" s="165" t="n">
        <x:v>46249</x:v>
      </x:c>
      <x:c r="B10" s="166" t="str">
        <x:v>S002</x:v>
      </x:c>
      <x:c r="C10" s="182" t="str">
        <x:f>IFERROR(INDEX('门店主数据'!$B$5:$B$8,MATCH(B10,'门店主数据'!$A$5:$A$8,0)),"")</x:f>
        <x:v>滨江店</x:v>
      </x:c>
      <x:c r="D10" s="166" t="str">
        <x:v>营业</x:v>
      </x:c>
      <x:c r="E10" s="167" t="n">
        <x:v>12</x:v>
      </x:c>
      <x:c r="F10" s="189" t="n">
        <x:f>SUMIFS('商品销售日报'!$H$5:$H$148,'商品销售日报'!$A$5:$A$148,$A10,'商品销售日报'!$B$5:$B$148,$B10)</x:f>
        <x:v>65</x:v>
      </x:c>
      <x:c r="G10" s="189" t="n">
        <x:f>SUMIFS('商品销售日报'!$I$5:$I$148,'商品销售日报'!$A$5:$A$148,$A10,'商品销售日报'!$B$5:$B$148,$B10)</x:f>
        <x:v>94</x:v>
      </x:c>
      <x:c r="H10" s="185" t="n">
        <x:f>ROUND(SUMIFS('商品销售日报'!$L$5:$L$148,'商品销售日报'!$A$5:$A$148,$A10,'商品销售日报'!$B$5:$B$148,$B10),2)</x:f>
        <x:v>2435.89</x:v>
      </x:c>
      <x:c r="I10" s="185" t="n">
        <x:f>ROUND(SUMIFS('商品销售日报'!$N$5:$N$148,'商品销售日报'!$A$5:$A$148,$A10,'商品销售日报'!$B$5:$B$148,$B10),2)</x:f>
        <x:v>716.9</x:v>
      </x:c>
      <x:c r="J10" s="185" t="n">
        <x:f>ROUND(H10-I10,2)</x:f>
        <x:v>1718.99</x:v>
      </x:c>
      <x:c r="K10" s="190" t="n">
        <x:f>IFERROR(J10/H10,0)</x:f>
        <x:v>0.7056927857990304</x:v>
      </x:c>
      <x:c r="L10" s="185" t="n">
        <x:f>ROUND(IFERROR(H10/F10,0),2)</x:f>
        <x:v>37.48</x:v>
      </x:c>
      <x:c r="M10" s="168" t="n">
        <x:v>0</x:v>
      </x:c>
      <x:c r="N10" s="168" t="n">
        <x:v>905</x:v>
      </x:c>
      <x:c r="O10" s="185" t="n">
        <x:f>ROUND(J10-M10-N10,2)</x:f>
        <x:v>813.99</x:v>
      </x:c>
      <x:c r="P10" s="169" t="str"/>
    </x:row>
    <x:row r="11">
      <x:c r="A11" s="165" t="n">
        <x:v>46249</x:v>
      </x:c>
      <x:c r="B11" s="166" t="str">
        <x:v>S003</x:v>
      </x:c>
      <x:c r="C11" s="182" t="str">
        <x:f>IFERROR(INDEX('门店主数据'!$B$5:$B$8,MATCH(B11,'门店主数据'!$A$5:$A$8,0)),"")</x:f>
        <x:v>大学城店</x:v>
      </x:c>
      <x:c r="D11" s="166" t="str">
        <x:v>营业</x:v>
      </x:c>
      <x:c r="E11" s="167" t="n">
        <x:v>12</x:v>
      </x:c>
      <x:c r="F11" s="189" t="n">
        <x:f>SUMIFS('商品销售日报'!$H$5:$H$148,'商品销售日报'!$A$5:$A$148,$A11,'商品销售日报'!$B$5:$B$148,$B11)</x:f>
        <x:v>56</x:v>
      </x:c>
      <x:c r="G11" s="189" t="n">
        <x:f>SUMIFS('商品销售日报'!$I$5:$I$148,'商品销售日报'!$A$5:$A$148,$A11,'商品销售日报'!$B$5:$B$148,$B11)</x:f>
        <x:v>82</x:v>
      </x:c>
      <x:c r="H11" s="185" t="n">
        <x:f>ROUND(SUMIFS('商品销售日报'!$L$5:$L$148,'商品销售日报'!$A$5:$A$148,$A11,'商品销售日报'!$B$5:$B$148,$B11),2)</x:f>
        <x:v>2111.38</x:v>
      </x:c>
      <x:c r="I11" s="185" t="n">
        <x:f>ROUND(SUMIFS('商品销售日报'!$N$5:$N$148,'商品销售日报'!$A$5:$A$148,$A11,'商品销售日报'!$B$5:$B$148,$B11),2)</x:f>
        <x:v>628.7</x:v>
      </x:c>
      <x:c r="J11" s="185" t="n">
        <x:f>ROUND(H11-I11,2)</x:f>
        <x:v>1482.68</x:v>
      </x:c>
      <x:c r="K11" s="190" t="n">
        <x:f>IFERROR(J11/H11,0)</x:f>
        <x:v>0.7022326629976603</x:v>
      </x:c>
      <x:c r="L11" s="185" t="n">
        <x:f>ROUND(IFERROR(H11/F11,0),2)</x:f>
        <x:v>37.7</x:v>
      </x:c>
      <x:c r="M11" s="168" t="n">
        <x:v>0</x:v>
      </x:c>
      <x:c r="N11" s="168" t="n">
        <x:v>975</x:v>
      </x:c>
      <x:c r="O11" s="185" t="n">
        <x:f>ROUND(J11-M11-N11,2)</x:f>
        <x:v>507.68</x:v>
      </x:c>
      <x:c r="P11" s="169" t="str"/>
    </x:row>
    <x:row r="12">
      <x:c r="A12" s="165" t="n">
        <x:v>46249</x:v>
      </x:c>
      <x:c r="B12" s="166" t="str">
        <x:v>S004</x:v>
      </x:c>
      <x:c r="C12" s="182" t="str">
        <x:f>IFERROR(INDEX('门店主数据'!$B$5:$B$8,MATCH(B12,'门店主数据'!$A$5:$A$8,0)),"")</x:f>
        <x:v>机场店</x:v>
      </x:c>
      <x:c r="D12" s="166" t="str">
        <x:v>营业</x:v>
      </x:c>
      <x:c r="E12" s="167" t="n">
        <x:v>12</x:v>
      </x:c>
      <x:c r="F12" s="189" t="n">
        <x:f>SUMIFS('商品销售日报'!$H$5:$H$148,'商品销售日报'!$A$5:$A$148,$A12,'商品销售日报'!$B$5:$B$148,$B12)</x:f>
        <x:v>87</x:v>
      </x:c>
      <x:c r="G12" s="189" t="n">
        <x:f>SUMIFS('商品销售日报'!$I$5:$I$148,'商品销售日报'!$A$5:$A$148,$A12,'商品销售日报'!$B$5:$B$148,$B12)</x:f>
        <x:v>122</x:v>
      </x:c>
      <x:c r="H12" s="185" t="n">
        <x:f>ROUND(SUMIFS('商品销售日报'!$L$5:$L$148,'商品销售日报'!$A$5:$A$148,$A12,'商品销售日报'!$B$5:$B$148,$B12),2)</x:f>
        <x:v>3223.84</x:v>
      </x:c>
      <x:c r="I12" s="185" t="n">
        <x:f>ROUND(SUMIFS('商品销售日报'!$N$5:$N$148,'商品销售日报'!$A$5:$A$148,$A12,'商品销售日报'!$B$5:$B$148,$B12),2)</x:f>
        <x:v>966.4</x:v>
      </x:c>
      <x:c r="J12" s="185" t="n">
        <x:f>ROUND(H12-I12,2)</x:f>
        <x:v>2257.44</x:v>
      </x:c>
      <x:c r="K12" s="190" t="n">
        <x:f>IFERROR(J12/H12,0)</x:f>
        <x:v>0.7002332621966351</x:v>
      </x:c>
      <x:c r="L12" s="185" t="n">
        <x:f>ROUND(IFERROR(H12/F12,0),2)</x:f>
        <x:v>37.06</x:v>
      </x:c>
      <x:c r="M12" s="168" t="n">
        <x:v>0</x:v>
      </x:c>
      <x:c r="N12" s="168" t="n">
        <x:v>1045</x:v>
      </x:c>
      <x:c r="O12" s="185" t="n">
        <x:f>ROUND(J12-M12-N12,2)</x:f>
        <x:v>1212.44</x:v>
      </x:c>
      <x:c r="P12" s="169" t="str"/>
    </x:row>
    <x:row r="13">
      <x:c r="A13" s="165" t="n">
        <x:v>46250</x:v>
      </x:c>
      <x:c r="B13" s="166" t="str">
        <x:v>S001</x:v>
      </x:c>
      <x:c r="C13" s="182" t="str">
        <x:f>IFERROR(INDEX('门店主数据'!$B$5:$B$8,MATCH(B13,'门店主数据'!$A$5:$A$8,0)),"")</x:f>
        <x:v>人民广场店</x:v>
      </x:c>
      <x:c r="D13" s="166" t="str">
        <x:v>营业</x:v>
      </x:c>
      <x:c r="E13" s="167" t="n">
        <x:v>12</x:v>
      </x:c>
      <x:c r="F13" s="189" t="n">
        <x:f>SUMIFS('商品销售日报'!$H$5:$H$148,'商品销售日报'!$A$5:$A$148,$A13,'商品销售日报'!$B$5:$B$148,$B13)</x:f>
        <x:v>89</x:v>
      </x:c>
      <x:c r="G13" s="189" t="n">
        <x:f>SUMIFS('商品销售日报'!$I$5:$I$148,'商品销售日报'!$A$5:$A$148,$A13,'商品销售日报'!$B$5:$B$148,$B13)</x:f>
        <x:v>128</x:v>
      </x:c>
      <x:c r="H13" s="185" t="n">
        <x:f>ROUND(SUMIFS('商品销售日报'!$L$5:$L$148,'商品销售日报'!$A$5:$A$148,$A13,'商品销售日报'!$B$5:$B$148,$B13),2)</x:f>
        <x:v>3337.28</x:v>
      </x:c>
      <x:c r="I13" s="185" t="n">
        <x:f>ROUND(SUMIFS('商品销售日报'!$N$5:$N$148,'商品销售日报'!$A$5:$A$148,$A13,'商品销售日报'!$B$5:$B$148,$B13),2)</x:f>
        <x:v>980.7</x:v>
      </x:c>
      <x:c r="J13" s="185" t="n">
        <x:f>ROUND(H13-I13,2)</x:f>
        <x:v>2356.58</x:v>
      </x:c>
      <x:c r="K13" s="190" t="n">
        <x:f>IFERROR(J13/H13,0)</x:f>
        <x:v>0.7061379326876978</x:v>
      </x:c>
      <x:c r="L13" s="185" t="n">
        <x:f>ROUND(IFERROR(H13/F13,0),2)</x:f>
        <x:v>37.5</x:v>
      </x:c>
      <x:c r="M13" s="168" t="n">
        <x:v>0</x:v>
      </x:c>
      <x:c r="N13" s="168" t="n">
        <x:v>850</x:v>
      </x:c>
      <x:c r="O13" s="185" t="n">
        <x:f>ROUND(J13-M13-N13,2)</x:f>
        <x:v>1506.58</x:v>
      </x:c>
      <x:c r="P13" s="169" t="str">
        <x:v>周末客流测试</x:v>
      </x:c>
    </x:row>
    <x:row r="14">
      <x:c r="A14" s="165" t="n">
        <x:v>46250</x:v>
      </x:c>
      <x:c r="B14" s="166" t="str">
        <x:v>S002</x:v>
      </x:c>
      <x:c r="C14" s="182" t="str">
        <x:f>IFERROR(INDEX('门店主数据'!$B$5:$B$8,MATCH(B14,'门店主数据'!$A$5:$A$8,0)),"")</x:f>
        <x:v>滨江店</x:v>
      </x:c>
      <x:c r="D14" s="166" t="str">
        <x:v>营业</x:v>
      </x:c>
      <x:c r="E14" s="167" t="n">
        <x:v>12</x:v>
      </x:c>
      <x:c r="F14" s="189" t="n">
        <x:f>SUMIFS('商品销售日报'!$H$5:$H$148,'商品销售日报'!$A$5:$A$148,$A14,'商品销售日报'!$B$5:$B$148,$B14)</x:f>
        <x:v>74</x:v>
      </x:c>
      <x:c r="G14" s="189" t="n">
        <x:f>SUMIFS('商品销售日报'!$I$5:$I$148,'商品销售日报'!$A$5:$A$148,$A14,'商品销售日报'!$B$5:$B$148,$B14)</x:f>
        <x:v>105</x:v>
      </x:c>
      <x:c r="H14" s="185" t="n">
        <x:f>ROUND(SUMIFS('商品销售日报'!$L$5:$L$148,'商品销售日报'!$A$5:$A$148,$A14,'商品销售日报'!$B$5:$B$148,$B14),2)</x:f>
        <x:v>2731.3</x:v>
      </x:c>
      <x:c r="I14" s="185" t="n">
        <x:f>ROUND(SUMIFS('商品销售日报'!$N$5:$N$148,'商品销售日报'!$A$5:$A$148,$A14,'商品销售日报'!$B$5:$B$148,$B14),2)</x:f>
        <x:v>811.2</x:v>
      </x:c>
      <x:c r="J14" s="185" t="n">
        <x:f>ROUND(H14-I14,2)</x:f>
        <x:v>1920.1</x:v>
      </x:c>
      <x:c r="K14" s="190" t="n">
        <x:f>IFERROR(J14/H14,0)</x:f>
        <x:v>0.7029985721085197</x:v>
      </x:c>
      <x:c r="L14" s="185" t="n">
        <x:f>ROUND(IFERROR(H14/F14,0),2)</x:f>
        <x:v>36.91</x:v>
      </x:c>
      <x:c r="M14" s="168" t="n">
        <x:v>0</x:v>
      </x:c>
      <x:c r="N14" s="168" t="n">
        <x:v>920</x:v>
      </x:c>
      <x:c r="O14" s="185" t="n">
        <x:f>ROUND(J14-M14-N14,2)</x:f>
        <x:v>1000.1</x:v>
      </x:c>
      <x:c r="P14" s="169" t="str">
        <x:v>周末客流测试</x:v>
      </x:c>
    </x:row>
    <x:row r="15">
      <x:c r="A15" s="165" t="n">
        <x:v>46250</x:v>
      </x:c>
      <x:c r="B15" s="166" t="str">
        <x:v>S003</x:v>
      </x:c>
      <x:c r="C15" s="182" t="str">
        <x:f>IFERROR(INDEX('门店主数据'!$B$5:$B$8,MATCH(B15,'门店主数据'!$A$5:$A$8,0)),"")</x:f>
        <x:v>大学城店</x:v>
      </x:c>
      <x:c r="D15" s="166" t="str">
        <x:v>营业</x:v>
      </x:c>
      <x:c r="E15" s="167" t="n">
        <x:v>12</x:v>
      </x:c>
      <x:c r="F15" s="189" t="n">
        <x:f>SUMIFS('商品销售日报'!$H$5:$H$148,'商品销售日报'!$A$5:$A$148,$A15,'商品销售日报'!$B$5:$B$148,$B15)</x:f>
        <x:v>66</x:v>
      </x:c>
      <x:c r="G15" s="189" t="n">
        <x:f>SUMIFS('商品销售日报'!$I$5:$I$148,'商品销售日报'!$A$5:$A$148,$A15,'商品销售日报'!$B$5:$B$148,$B15)</x:f>
        <x:v>96</x:v>
      </x:c>
      <x:c r="H15" s="185" t="n">
        <x:f>ROUND(SUMIFS('商品销售日报'!$L$5:$L$148,'商品销售日报'!$A$5:$A$148,$A15,'商品销售日报'!$B$5:$B$148,$B15),2)</x:f>
        <x:v>2552.32</x:v>
      </x:c>
      <x:c r="I15" s="185" t="n">
        <x:f>ROUND(SUMIFS('商品销售日报'!$N$5:$N$148,'商品销售日报'!$A$5:$A$148,$A15,'商品销售日报'!$B$5:$B$148,$B15),2)</x:f>
        <x:v>767.6</x:v>
      </x:c>
      <x:c r="J15" s="185" t="n">
        <x:f>ROUND(H15-I15,2)</x:f>
        <x:v>1784.72</x:v>
      </x:c>
      <x:c r="K15" s="190" t="n">
        <x:f>IFERROR(J15/H15,0)</x:f>
        <x:v>0.6992540120361083</x:v>
      </x:c>
      <x:c r="L15" s="185" t="n">
        <x:f>ROUND(IFERROR(H15/F15,0),2)</x:f>
        <x:v>38.67</x:v>
      </x:c>
      <x:c r="M15" s="168" t="n">
        <x:v>0</x:v>
      </x:c>
      <x:c r="N15" s="168" t="n">
        <x:v>990</x:v>
      </x:c>
      <x:c r="O15" s="185" t="n">
        <x:f>ROUND(J15-M15-N15,2)</x:f>
        <x:v>794.72</x:v>
      </x:c>
      <x:c r="P15" s="169" t="str">
        <x:v>周末客流测试</x:v>
      </x:c>
    </x:row>
    <x:row r="16">
      <x:c r="A16" s="170" t="n">
        <x:v>46250</x:v>
      </x:c>
      <x:c r="B16" s="171" t="str">
        <x:v>S004</x:v>
      </x:c>
      <x:c r="C16" s="183" t="str">
        <x:f>IFERROR(INDEX('门店主数据'!$B$5:$B$8,MATCH(B16,'门店主数据'!$A$5:$A$8,0)),"")</x:f>
        <x:v>机场店</x:v>
      </x:c>
      <x:c r="D16" s="171" t="str">
        <x:v>营业</x:v>
      </x:c>
      <x:c r="E16" s="172" t="n">
        <x:v>12</x:v>
      </x:c>
      <x:c r="F16" s="191" t="n">
        <x:f>SUMIFS('商品销售日报'!$H$5:$H$148,'商品销售日报'!$A$5:$A$148,$A16,'商品销售日报'!$B$5:$B$148,$B16)</x:f>
        <x:v>96</x:v>
      </x:c>
      <x:c r="G16" s="191" t="n">
        <x:f>SUMIFS('商品销售日报'!$I$5:$I$148,'商品销售日报'!$A$5:$A$148,$A16,'商品销售日报'!$B$5:$B$148,$B16)</x:f>
        <x:v>138</x:v>
      </x:c>
      <x:c r="H16" s="186" t="n">
        <x:f>ROUND(SUMIFS('商品销售日报'!$L$5:$L$148,'商品销售日报'!$A$5:$A$148,$A16,'商品销售日报'!$B$5:$B$148,$B16),2)</x:f>
        <x:v>3600.48</x:v>
      </x:c>
      <x:c r="I16" s="186" t="n">
        <x:f>ROUND(SUMIFS('商品销售日报'!$N$5:$N$148,'商品销售日报'!$A$5:$A$148,$A16,'商品销售日报'!$B$5:$B$148,$B16),2)</x:f>
        <x:v>1061.7</x:v>
      </x:c>
      <x:c r="J16" s="186" t="n">
        <x:f>ROUND(H16-I16,2)</x:f>
        <x:v>2538.78</x:v>
      </x:c>
      <x:c r="K16" s="192" t="n">
        <x:f>IFERROR(J16/H16,0)</x:f>
        <x:v>0.7051226503132916</x:v>
      </x:c>
      <x:c r="L16" s="186" t="n">
        <x:f>ROUND(IFERROR(H16/F16,0),2)</x:f>
        <x:v>37.51</x:v>
      </x:c>
      <x:c r="M16" s="173" t="n">
        <x:v>0</x:v>
      </x:c>
      <x:c r="N16" s="173" t="n">
        <x:v>1060</x:v>
      </x:c>
      <x:c r="O16" s="186" t="n">
        <x:f>ROUND(J16-M16-N16,2)</x:f>
        <x:v>1478.78</x:v>
      </x:c>
      <x:c r="P16" s="174" t="str">
        <x:v>周末客流测试</x:v>
      </x:c>
    </x:row>
  </x:sheetData>
  <x:mergeCells>
    <x:mergeCell ref="A1:P1"/>
    <x:mergeCell ref="A2:P2"/>
  </x:mergeCells>
  <x:dataValidations count="1">
    <x:dataValidation type="list" sqref="D5:D16">
      <x:formula1>"营业,闭店,盘点"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095a2299b24d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8" hidden="0" customWidth="1"/>
  </x:cols>
  <x:sheetData>
    <x:row r="1" ht="30" customHeight="1">
      <x:c r="A1" s="178" t="str">
        <x:v>商品销售日报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</x:row>
    <x:row r="2" ht="24" customHeight="1">
      <x:c r="A2" s="109" t="str">
        <x:v>按日、门店、商品记录销售；黄色列是测试输入，绿色列会根据主数据和输入自动计算。
</x:v>
      </x:c>
      <x:c r="B2" s="109" t="str">
        <x:v>按日、门店、商品记录销售；黄色列是测试输入，绿色列会根据主数据和输入自动计算。
</x:v>
      </x:c>
      <x:c r="C2" s="109" t="str">
        <x:v>按日、门店、商品记录销售；黄色列是测试输入，绿色列会根据主数据和输入自动计算。
</x:v>
      </x:c>
      <x:c r="D2" s="109" t="str">
        <x:v>按日、门店、商品记录销售；黄色列是测试输入，绿色列会根据主数据和输入自动计算。
</x:v>
      </x:c>
      <x:c r="E2" s="109" t="str">
        <x:v>按日、门店、商品记录销售；黄色列是测试输入，绿色列会根据主数据和输入自动计算。
</x:v>
      </x:c>
      <x:c r="F2" s="109" t="str">
        <x:v>按日、门店、商品记录销售；黄色列是测试输入，绿色列会根据主数据和输入自动计算。
</x:v>
      </x:c>
      <x:c r="G2" s="109" t="str">
        <x:v>按日、门店、商品记录销售；黄色列是测试输入，绿色列会根据主数据和输入自动计算。
</x:v>
      </x:c>
      <x:c r="H2" s="109" t="str">
        <x:v>按日、门店、商品记录销售；黄色列是测试输入，绿色列会根据主数据和输入自动计算。
</x:v>
      </x:c>
      <x:c r="I2" s="109" t="str">
        <x:v>按日、门店、商品记录销售；黄色列是测试输入，绿色列会根据主数据和输入自动计算。
</x:v>
      </x:c>
      <x:c r="J2" s="109" t="str">
        <x:v>按日、门店、商品记录销售；黄色列是测试输入，绿色列会根据主数据和输入自动计算。
</x:v>
      </x:c>
      <x:c r="K2" s="109" t="str">
        <x:v>按日、门店、商品记录销售；黄色列是测试输入，绿色列会根据主数据和输入自动计算。
</x:v>
      </x:c>
      <x:c r="L2" s="109" t="str">
        <x:v>按日、门店、商品记录销售；黄色列是测试输入，绿色列会根据主数据和输入自动计算。
</x:v>
      </x:c>
      <x:c r="M2" s="109" t="str">
        <x:v>按日、门店、商品记录销售；黄色列是测试输入，绿色列会根据主数据和输入自动计算。
</x:v>
      </x:c>
      <x:c r="N2" s="109" t="str">
        <x:v>按日、门店、商品记录销售；黄色列是测试输入，绿色列会根据主数据和输入自动计算。
</x:v>
      </x:c>
      <x:c r="O2" s="109" t="str">
        <x:v>按日、门店、商品记录销售；黄色列是测试输入，绿色列会根据主数据和输入自动计算。
</x:v>
      </x:c>
      <x:c r="P2" s="109" t="str">
        <x:v>按日、门店、商品记录销售；黄色列是测试输入，绿色列会根据主数据和输入自动计算。
</x:v>
      </x:c>
      <x:c r="Q2" s="109" t="str">
        <x:v>按日、门店、商品记录销售；黄色列是测试输入，绿色列会根据主数据和输入自动计算。
</x:v>
      </x:c>
    </x:row>
    <x:row r="3">
      <x:c r="A3" s="110"/>
      <x:c r="B3" s="110"/>
      <x:c r="C3" s="110"/>
      <x:c r="D3" s="110"/>
      <x:c r="E3" s="110"/>
      <x:c r="F3" s="110"/>
      <x:c r="G3" s="110"/>
      <x:c r="H3" s="110"/>
      <x:c r="I3" s="110"/>
      <x:c r="J3" s="110"/>
      <x:c r="K3" s="110"/>
      <x:c r="L3" s="110"/>
      <x:c r="M3" s="110"/>
      <x:c r="N3" s="110"/>
      <x:c r="O3" s="110"/>
      <x:c r="P3" s="110"/>
      <x:c r="Q3" s="110"/>
    </x:row>
    <x:row r="4" ht="28" customHeight="1">
      <x:c r="A4" s="179" t="str">
        <x:v>日期</x:v>
      </x:c>
      <x:c r="B4" s="179" t="str">
        <x:v>门店编码</x:v>
      </x:c>
      <x:c r="C4" s="179" t="str">
        <x:v>门店名称</x:v>
      </x:c>
      <x:c r="D4" s="179" t="str">
        <x:v>商品编码</x:v>
      </x:c>
      <x:c r="E4" s="179" t="str">
        <x:v>商品名称</x:v>
      </x:c>
      <x:c r="F4" s="179" t="str">
        <x:v>类别</x:v>
      </x:c>
      <x:c r="G4" s="179" t="str">
        <x:v>单价</x:v>
      </x:c>
      <x:c r="H4" s="179" t="str">
        <x:v>交易笔数</x:v>
      </x:c>
      <x:c r="I4" s="179" t="str">
        <x:v>销售数量</x:v>
      </x:c>
      <x:c r="J4" s="179" t="str">
        <x:v>原价金额</x:v>
      </x:c>
      <x:c r="K4" s="179" t="str">
        <x:v>折扣金额</x:v>
      </x:c>
      <x:c r="L4" s="179" t="str">
        <x:v>实收金额</x:v>
      </x:c>
      <x:c r="M4" s="179" t="str">
        <x:v>单位成本</x:v>
      </x:c>
      <x:c r="N4" s="179" t="str">
        <x:v>销售成本</x:v>
      </x:c>
      <x:c r="O4" s="179" t="str">
        <x:v>毛利</x:v>
      </x:c>
      <x:c r="P4" s="179" t="str">
        <x:v>支付方式</x:v>
      </x:c>
      <x:c r="Q4" s="179" t="str">
        <x:v>备注</x:v>
      </x:c>
    </x:row>
    <x:row r="5">
      <x:c r="A5" s="160" t="n">
        <x:v>46248</x:v>
      </x:c>
      <x:c r="B5" s="161" t="str">
        <x:v>S001</x:v>
      </x:c>
      <x:c r="C5" s="181" t="str">
        <x:f>IFERROR(INDEX('门店主数据'!$B$5:$B$8,MATCH(B5,'门店主数据'!$A$5:$A$8,0)),"")</x:f>
        <x:v>人民广场店</x:v>
      </x:c>
      <x:c r="D5" s="161" t="str">
        <x:v>P001</x:v>
      </x:c>
      <x:c r="E5" s="181" t="str">
        <x:f>IFERROR(INDEX('商品主数据'!$B$5:$B$16,MATCH(D5,'商品主数据'!$A$5:$A$16,0)),"")</x:f>
        <x:v>浓缩咖啡</x:v>
      </x:c>
      <x:c r="F5" s="181" t="str">
        <x:f>IFERROR(INDEX('商品主数据'!$C$5:$C$16,MATCH(D5,'商品主数据'!$A$5:$A$16,0)),"")</x:f>
        <x:v>咖啡</x:v>
      </x:c>
      <x:c r="G5" s="184" t="n">
        <x:f>IFERROR(INDEX('商品主数据'!$E$5:$E$16,MATCH(D5,'商品主数据'!$A$5:$A$16,0)),"")</x:f>
        <x:v>22</x:v>
      </x:c>
      <x:c r="H5" s="162" t="n">
        <x:v>6</x:v>
      </x:c>
      <x:c r="I5" s="162" t="n">
        <x:v>8</x:v>
      </x:c>
      <x:c r="J5" s="184" t="n">
        <x:f>ROUND(G5*I5,2)</x:f>
        <x:v>176</x:v>
      </x:c>
      <x:c r="K5" s="163" t="n">
        <x:v>14.08</x:v>
      </x:c>
      <x:c r="L5" s="184" t="n">
        <x:f>ROUND(J5-K5,2)</x:f>
        <x:v>161.92</x:v>
      </x:c>
      <x:c r="M5" s="184" t="n">
        <x:f>IFERROR(INDEX('商品主数据'!$F$5:$F$16,MATCH(D5,'商品主数据'!$A$5:$A$16,0)),"")</x:f>
        <x:v>5.5</x:v>
      </x:c>
      <x:c r="N5" s="184" t="n">
        <x:f>ROUND(M5*I5,2)</x:f>
        <x:v>44</x:v>
      </x:c>
      <x:c r="O5" s="184" t="n">
        <x:f>ROUND(L5-N5,2)</x:f>
        <x:v>117.92</x:v>
      </x:c>
      <x:c r="P5" s="161" t="str">
        <x:v>微信支付</x:v>
      </x:c>
      <x:c r="Q5" s="164" t="str"/>
    </x:row>
    <x:row r="6">
      <x:c r="A6" s="165" t="n">
        <x:v>46248</x:v>
      </x:c>
      <x:c r="B6" s="166" t="str">
        <x:v>S001</x:v>
      </x:c>
      <x:c r="C6" s="182" t="str">
        <x:f>IFERROR(INDEX('门店主数据'!$B$5:$B$8,MATCH(B6,'门店主数据'!$A$5:$A$8,0)),"")</x:f>
        <x:v>人民广场店</x:v>
      </x:c>
      <x:c r="D6" s="166" t="str">
        <x:v>P002</x:v>
      </x:c>
      <x:c r="E6" s="182" t="str">
        <x:f>IFERROR(INDEX('商品主数据'!$B$5:$B$16,MATCH(D6,'商品主数据'!$A$5:$A$16,0)),"")</x:f>
        <x:v>美式咖啡</x:v>
      </x:c>
      <x:c r="F6" s="182" t="str">
        <x:f>IFERROR(INDEX('商品主数据'!$C$5:$C$16,MATCH(D6,'商品主数据'!$A$5:$A$16,0)),"")</x:f>
        <x:v>咖啡</x:v>
      </x:c>
      <x:c r="G6" s="185" t="n">
        <x:f>IFERROR(INDEX('商品主数据'!$E$5:$E$16,MATCH(D6,'商品主数据'!$A$5:$A$16,0)),"")</x:f>
        <x:v>26</x:v>
      </x:c>
      <x:c r="H6" s="167" t="n">
        <x:v>16</x:v>
      </x:c>
      <x:c r="I6" s="167" t="n">
        <x:v>20</x:v>
      </x:c>
      <x:c r="J6" s="185" t="n">
        <x:f>ROUND(G6*I6,2)</x:f>
        <x:v>520</x:v>
      </x:c>
      <x:c r="K6" s="168" t="n">
        <x:v>15.6</x:v>
      </x:c>
      <x:c r="L6" s="185" t="n">
        <x:f>ROUND(J6-K6,2)</x:f>
        <x:v>504.4</x:v>
      </x:c>
      <x:c r="M6" s="185" t="n">
        <x:f>IFERROR(INDEX('商品主数据'!$F$5:$F$16,MATCH(D6,'商品主数据'!$A$5:$A$16,0)),"")</x:f>
        <x:v>6</x:v>
      </x:c>
      <x:c r="N6" s="185" t="n">
        <x:f>ROUND(M6*I6,2)</x:f>
        <x:v>120</x:v>
      </x:c>
      <x:c r="O6" s="185" t="n">
        <x:f>ROUND(L6-N6,2)</x:f>
        <x:v>384.4</x:v>
      </x:c>
      <x:c r="P6" s="166" t="str">
        <x:v>支付宝</x:v>
      </x:c>
      <x:c r="Q6" s="169" t="str"/>
    </x:row>
    <x:row r="7">
      <x:c r="A7" s="165" t="n">
        <x:v>46248</x:v>
      </x:c>
      <x:c r="B7" s="166" t="str">
        <x:v>S001</x:v>
      </x:c>
      <x:c r="C7" s="182" t="str">
        <x:f>IFERROR(INDEX('门店主数据'!$B$5:$B$8,MATCH(B7,'门店主数据'!$A$5:$A$8,0)),"")</x:f>
        <x:v>人民广场店</x:v>
      </x:c>
      <x:c r="D7" s="166" t="str">
        <x:v>P003</x:v>
      </x:c>
      <x:c r="E7" s="182" t="str">
        <x:f>IFERROR(INDEX('商品主数据'!$B$5:$B$16,MATCH(D7,'商品主数据'!$A$5:$A$16,0)),"")</x:f>
        <x:v>拿铁咖啡</x:v>
      </x:c>
      <x:c r="F7" s="182" t="str">
        <x:f>IFERROR(INDEX('商品主数据'!$C$5:$C$16,MATCH(D7,'商品主数据'!$A$5:$A$16,0)),"")</x:f>
        <x:v>咖啡</x:v>
      </x:c>
      <x:c r="G7" s="185" t="n">
        <x:f>IFERROR(INDEX('商品主数据'!$E$5:$E$16,MATCH(D7,'商品主数据'!$A$5:$A$16,0)),"")</x:f>
        <x:v>32</x:v>
      </x:c>
      <x:c r="H7" s="167" t="n">
        <x:v>12</x:v>
      </x:c>
      <x:c r="I7" s="167" t="n">
        <x:v>16</x:v>
      </x:c>
      <x:c r="J7" s="185" t="n">
        <x:f>ROUND(G7*I7,2)</x:f>
        <x:v>512</x:v>
      </x:c>
      <x:c r="K7" s="168" t="n">
        <x:v>15.36</x:v>
      </x:c>
      <x:c r="L7" s="185" t="n">
        <x:f>ROUND(J7-K7,2)</x:f>
        <x:v>496.64</x:v>
      </x:c>
      <x:c r="M7" s="185" t="n">
        <x:f>IFERROR(INDEX('商品主数据'!$F$5:$F$16,MATCH(D7,'商品主数据'!$A$5:$A$16,0)),"")</x:f>
        <x:v>8.5</x:v>
      </x:c>
      <x:c r="N7" s="185" t="n">
        <x:f>ROUND(M7*I7,2)</x:f>
        <x:v>136</x:v>
      </x:c>
      <x:c r="O7" s="185" t="n">
        <x:f>ROUND(L7-N7,2)</x:f>
        <x:v>360.64</x:v>
      </x:c>
      <x:c r="P7" s="166" t="str">
        <x:v>银行卡</x:v>
      </x:c>
      <x:c r="Q7" s="169" t="str"/>
    </x:row>
    <x:row r="8">
      <x:c r="A8" s="165" t="n">
        <x:v>46248</x:v>
      </x:c>
      <x:c r="B8" s="166" t="str">
        <x:v>S001</x:v>
      </x:c>
      <x:c r="C8" s="182" t="str">
        <x:f>IFERROR(INDEX('门店主数据'!$B$5:$B$8,MATCH(B8,'门店主数据'!$A$5:$A$8,0)),"")</x:f>
        <x:v>人民广场店</x:v>
      </x:c>
      <x:c r="D8" s="166" t="str">
        <x:v>P004</x:v>
      </x:c>
      <x:c r="E8" s="182" t="str">
        <x:f>IFERROR(INDEX('商品主数据'!$B$5:$B$16,MATCH(D8,'商品主数据'!$A$5:$A$16,0)),"")</x:f>
        <x:v>卡布奇诺</x:v>
      </x:c>
      <x:c r="F8" s="182" t="str">
        <x:f>IFERROR(INDEX('商品主数据'!$C$5:$C$16,MATCH(D8,'商品主数据'!$A$5:$A$16,0)),"")</x:f>
        <x:v>咖啡</x:v>
      </x:c>
      <x:c r="G8" s="185" t="n">
        <x:f>IFERROR(INDEX('商品主数据'!$E$5:$E$16,MATCH(D8,'商品主数据'!$A$5:$A$16,0)),"")</x:f>
        <x:v>32</x:v>
      </x:c>
      <x:c r="H8" s="167" t="n">
        <x:v>6</x:v>
      </x:c>
      <x:c r="I8" s="167" t="n">
        <x:v>9</x:v>
      </x:c>
      <x:c r="J8" s="185" t="n">
        <x:f>ROUND(G8*I8,2)</x:f>
        <x:v>288</x:v>
      </x:c>
      <x:c r="K8" s="168" t="n">
        <x:v>8.64</x:v>
      </x:c>
      <x:c r="L8" s="185" t="n">
        <x:f>ROUND(J8-K8,2)</x:f>
        <x:v>279.36</x:v>
      </x:c>
      <x:c r="M8" s="185" t="n">
        <x:f>IFERROR(INDEX('商品主数据'!$F$5:$F$16,MATCH(D8,'商品主数据'!$A$5:$A$16,0)),"")</x:f>
        <x:v>8.5</x:v>
      </x:c>
      <x:c r="N8" s="185" t="n">
        <x:f>ROUND(M8*I8,2)</x:f>
        <x:v>76.5</x:v>
      </x:c>
      <x:c r="O8" s="185" t="n">
        <x:f>ROUND(L8-N8,2)</x:f>
        <x:v>202.86</x:v>
      </x:c>
      <x:c r="P8" s="166" t="str">
        <x:v>现金</x:v>
      </x:c>
      <x:c r="Q8" s="169" t="str"/>
    </x:row>
    <x:row r="9">
      <x:c r="A9" s="165" t="n">
        <x:v>46248</x:v>
      </x:c>
      <x:c r="B9" s="166" t="str">
        <x:v>S001</x:v>
      </x:c>
      <x:c r="C9" s="182" t="str">
        <x:f>IFERROR(INDEX('门店主数据'!$B$5:$B$8,MATCH(B9,'门店主数据'!$A$5:$A$8,0)),"")</x:f>
        <x:v>人民广场店</x:v>
      </x:c>
      <x:c r="D9" s="166" t="str">
        <x:v>P005</x:v>
      </x:c>
      <x:c r="E9" s="182" t="str">
        <x:f>IFERROR(INDEX('商品主数据'!$B$5:$B$16,MATCH(D9,'商品主数据'!$A$5:$A$16,0)),"")</x:f>
        <x:v>摩卡咖啡</x:v>
      </x:c>
      <x:c r="F9" s="182" t="str">
        <x:f>IFERROR(INDEX('商品主数据'!$C$5:$C$16,MATCH(D9,'商品主数据'!$A$5:$A$16,0)),"")</x:f>
        <x:v>咖啡</x:v>
      </x:c>
      <x:c r="G9" s="185" t="n">
        <x:f>IFERROR(INDEX('商品主数据'!$E$5:$E$16,MATCH(D9,'商品主数据'!$A$5:$A$16,0)),"")</x:f>
        <x:v>36</x:v>
      </x:c>
      <x:c r="H9" s="167" t="n">
        <x:v>5</x:v>
      </x:c>
      <x:c r="I9" s="167" t="n">
        <x:v>7</x:v>
      </x:c>
      <x:c r="J9" s="185" t="n">
        <x:f>ROUND(G9*I9,2)</x:f>
        <x:v>252</x:v>
      </x:c>
      <x:c r="K9" s="168" t="n">
        <x:v>7.56</x:v>
      </x:c>
      <x:c r="L9" s="185" t="n">
        <x:f>ROUND(J9-K9,2)</x:f>
        <x:v>244.44</x:v>
      </x:c>
      <x:c r="M9" s="185" t="n">
        <x:f>IFERROR(INDEX('商品主数据'!$F$5:$F$16,MATCH(D9,'商品主数据'!$A$5:$A$16,0)),"")</x:f>
        <x:v>10</x:v>
      </x:c>
      <x:c r="N9" s="185" t="n">
        <x:f>ROUND(M9*I9,2)</x:f>
        <x:v>70</x:v>
      </x:c>
      <x:c r="O9" s="185" t="n">
        <x:f>ROUND(L9-N9,2)</x:f>
        <x:v>174.44</x:v>
      </x:c>
      <x:c r="P9" s="166" t="str">
        <x:v>微信支付</x:v>
      </x:c>
      <x:c r="Q9" s="169" t="str"/>
    </x:row>
    <x:row r="10">
      <x:c r="A10" s="165" t="n">
        <x:v>46248</x:v>
      </x:c>
      <x:c r="B10" s="166" t="str">
        <x:v>S001</x:v>
      </x:c>
      <x:c r="C10" s="182" t="str">
        <x:f>IFERROR(INDEX('门店主数据'!$B$5:$B$8,MATCH(B10,'门店主数据'!$A$5:$A$8,0)),"")</x:f>
        <x:v>人民广场店</x:v>
      </x:c>
      <x:c r="D10" s="166" t="str">
        <x:v>P006</x:v>
      </x:c>
      <x:c r="E10" s="182" t="str">
        <x:f>IFERROR(INDEX('商品主数据'!$B$5:$B$16,MATCH(D10,'商品主数据'!$A$5:$A$16,0)),"")</x:f>
        <x:v>冷萃咖啡</x:v>
      </x:c>
      <x:c r="F10" s="182" t="str">
        <x:f>IFERROR(INDEX('商品主数据'!$C$5:$C$16,MATCH(D10,'商品主数据'!$A$5:$A$16,0)),"")</x:f>
        <x:v>咖啡</x:v>
      </x:c>
      <x:c r="G10" s="185" t="n">
        <x:f>IFERROR(INDEX('商品主数据'!$E$5:$E$16,MATCH(D10,'商品主数据'!$A$5:$A$16,0)),"")</x:f>
        <x:v>34</x:v>
      </x:c>
      <x:c r="H10" s="167" t="n">
        <x:v>7</x:v>
      </x:c>
      <x:c r="I10" s="167" t="n">
        <x:v>9</x:v>
      </x:c>
      <x:c r="J10" s="185" t="n">
        <x:f>ROUND(G10*I10,2)</x:f>
        <x:v>306</x:v>
      </x:c>
      <x:c r="K10" s="168" t="n">
        <x:v>24.48</x:v>
      </x:c>
      <x:c r="L10" s="185" t="n">
        <x:f>ROUND(J10-K10,2)</x:f>
        <x:v>281.52</x:v>
      </x:c>
      <x:c r="M10" s="185" t="n">
        <x:f>IFERROR(INDEX('商品主数据'!$F$5:$F$16,MATCH(D10,'商品主数据'!$A$5:$A$16,0)),"")</x:f>
        <x:v>9.5</x:v>
      </x:c>
      <x:c r="N10" s="185" t="n">
        <x:f>ROUND(M10*I10,2)</x:f>
        <x:v>85.5</x:v>
      </x:c>
      <x:c r="O10" s="185" t="n">
        <x:f>ROUND(L10-N10,2)</x:f>
        <x:v>196.02</x:v>
      </x:c>
      <x:c r="P10" s="166" t="str">
        <x:v>支付宝</x:v>
      </x:c>
      <x:c r="Q10" s="169" t="str"/>
    </x:row>
    <x:row r="11">
      <x:c r="A11" s="165" t="n">
        <x:v>46248</x:v>
      </x:c>
      <x:c r="B11" s="166" t="str">
        <x:v>S001</x:v>
      </x:c>
      <x:c r="C11" s="182" t="str">
        <x:f>IFERROR(INDEX('门店主数据'!$B$5:$B$8,MATCH(B11,'门店主数据'!$A$5:$A$8,0)),"")</x:f>
        <x:v>人民广场店</x:v>
      </x:c>
      <x:c r="D11" s="166" t="str">
        <x:v>P007</x:v>
      </x:c>
      <x:c r="E11" s="182" t="str">
        <x:f>IFERROR(INDEX('商品主数据'!$B$5:$B$16,MATCH(D11,'商品主数据'!$A$5:$A$16,0)),"")</x:f>
        <x:v>抹茶拿铁</x:v>
      </x:c>
      <x:c r="F11" s="182" t="str">
        <x:f>IFERROR(INDEX('商品主数据'!$C$5:$C$16,MATCH(D11,'商品主数据'!$A$5:$A$16,0)),"")</x:f>
        <x:v>茶饮</x:v>
      </x:c>
      <x:c r="G11" s="185" t="n">
        <x:f>IFERROR(INDEX('商品主数据'!$E$5:$E$16,MATCH(D11,'商品主数据'!$A$5:$A$16,0)),"")</x:f>
        <x:v>34</x:v>
      </x:c>
      <x:c r="H11" s="167" t="n">
        <x:v>3</x:v>
      </x:c>
      <x:c r="I11" s="167" t="n">
        <x:v>4</x:v>
      </x:c>
      <x:c r="J11" s="185" t="n">
        <x:f>ROUND(G11*I11,2)</x:f>
        <x:v>136</x:v>
      </x:c>
      <x:c r="K11" s="168" t="n">
        <x:v>4.08</x:v>
      </x:c>
      <x:c r="L11" s="185" t="n">
        <x:f>ROUND(J11-K11,2)</x:f>
        <x:v>131.92</x:v>
      </x:c>
      <x:c r="M11" s="185" t="n">
        <x:f>IFERROR(INDEX('商品主数据'!$F$5:$F$16,MATCH(D11,'商品主数据'!$A$5:$A$16,0)),"")</x:f>
        <x:v>9</x:v>
      </x:c>
      <x:c r="N11" s="185" t="n">
        <x:f>ROUND(M11*I11,2)</x:f>
        <x:v>36</x:v>
      </x:c>
      <x:c r="O11" s="185" t="n">
        <x:f>ROUND(L11-N11,2)</x:f>
        <x:v>95.92</x:v>
      </x:c>
      <x:c r="P11" s="166" t="str">
        <x:v>银行卡</x:v>
      </x:c>
      <x:c r="Q11" s="169" t="str"/>
    </x:row>
    <x:row r="12">
      <x:c r="A12" s="165" t="n">
        <x:v>46248</x:v>
      </x:c>
      <x:c r="B12" s="166" t="str">
        <x:v>S001</x:v>
      </x:c>
      <x:c r="C12" s="182" t="str">
        <x:f>IFERROR(INDEX('门店主数据'!$B$5:$B$8,MATCH(B12,'门店主数据'!$A$5:$A$8,0)),"")</x:f>
        <x:v>人民广场店</x:v>
      </x:c>
      <x:c r="D12" s="166" t="str">
        <x:v>P008</x:v>
      </x:c>
      <x:c r="E12" s="182" t="str">
        <x:f>IFERROR(INDEX('商品主数据'!$B$5:$B$16,MATCH(D12,'商品主数据'!$A$5:$A$16,0)),"")</x:f>
        <x:v>海盐芝士蛋糕</x:v>
      </x:c>
      <x:c r="F12" s="182" t="str">
        <x:f>IFERROR(INDEX('商品主数据'!$C$5:$C$16,MATCH(D12,'商品主数据'!$A$5:$A$16,0)),"")</x:f>
        <x:v>烘焙</x:v>
      </x:c>
      <x:c r="G12" s="185" t="n">
        <x:f>IFERROR(INDEX('商品主数据'!$E$5:$E$16,MATCH(D12,'商品主数据'!$A$5:$A$16,0)),"")</x:f>
        <x:v>38</x:v>
      </x:c>
      <x:c r="H12" s="167" t="n">
        <x:v>2</x:v>
      </x:c>
      <x:c r="I12" s="167" t="n">
        <x:v>4</x:v>
      </x:c>
      <x:c r="J12" s="185" t="n">
        <x:f>ROUND(G12*I12,2)</x:f>
        <x:v>152</x:v>
      </x:c>
      <x:c r="K12" s="168" t="n">
        <x:v>4.56</x:v>
      </x:c>
      <x:c r="L12" s="185" t="n">
        <x:f>ROUND(J12-K12,2)</x:f>
        <x:v>147.44</x:v>
      </x:c>
      <x:c r="M12" s="185" t="n">
        <x:f>IFERROR(INDEX('商品主数据'!$F$5:$F$16,MATCH(D12,'商品主数据'!$A$5:$A$16,0)),"")</x:f>
        <x:v>16</x:v>
      </x:c>
      <x:c r="N12" s="185" t="n">
        <x:f>ROUND(M12*I12,2)</x:f>
        <x:v>64</x:v>
      </x:c>
      <x:c r="O12" s="185" t="n">
        <x:f>ROUND(L12-N12,2)</x:f>
        <x:v>83.44</x:v>
      </x:c>
      <x:c r="P12" s="166" t="str">
        <x:v>现金</x:v>
      </x:c>
      <x:c r="Q12" s="169" t="str"/>
    </x:row>
    <x:row r="13">
      <x:c r="A13" s="165" t="n">
        <x:v>46248</x:v>
      </x:c>
      <x:c r="B13" s="166" t="str">
        <x:v>S001</x:v>
      </x:c>
      <x:c r="C13" s="182" t="str">
        <x:f>IFERROR(INDEX('门店主数据'!$B$5:$B$8,MATCH(B13,'门店主数据'!$A$5:$A$8,0)),"")</x:f>
        <x:v>人民广场店</x:v>
      </x:c>
      <x:c r="D13" s="166" t="str">
        <x:v>P009</x:v>
      </x:c>
      <x:c r="E13" s="182" t="str">
        <x:f>IFERROR(INDEX('商品主数据'!$B$5:$B$16,MATCH(D13,'商品主数据'!$A$5:$A$16,0)),"")</x:f>
        <x:v>黄油可颂</x:v>
      </x:c>
      <x:c r="F13" s="182" t="str">
        <x:f>IFERROR(INDEX('商品主数据'!$C$5:$C$16,MATCH(D13,'商品主数据'!$A$5:$A$16,0)),"")</x:f>
        <x:v>烘焙</x:v>
      </x:c>
      <x:c r="G13" s="185" t="n">
        <x:f>IFERROR(INDEX('商品主数据'!$E$5:$E$16,MATCH(D13,'商品主数据'!$A$5:$A$16,0)),"")</x:f>
        <x:v>18</x:v>
      </x:c>
      <x:c r="H13" s="167" t="n">
        <x:v>9</x:v>
      </x:c>
      <x:c r="I13" s="167" t="n">
        <x:v>12</x:v>
      </x:c>
      <x:c r="J13" s="185" t="n">
        <x:f>ROUND(G13*I13,2)</x:f>
        <x:v>216</x:v>
      </x:c>
      <x:c r="K13" s="168" t="n">
        <x:v>6.48</x:v>
      </x:c>
      <x:c r="L13" s="185" t="n">
        <x:f>ROUND(J13-K13,2)</x:f>
        <x:v>209.52</x:v>
      </x:c>
      <x:c r="M13" s="185" t="n">
        <x:f>IFERROR(INDEX('商品主数据'!$F$5:$F$16,MATCH(D13,'商品主数据'!$A$5:$A$16,0)),"")</x:f>
        <x:v>6</x:v>
      </x:c>
      <x:c r="N13" s="185" t="n">
        <x:f>ROUND(M13*I13,2)</x:f>
        <x:v>72</x:v>
      </x:c>
      <x:c r="O13" s="185" t="n">
        <x:f>ROUND(L13-N13,2)</x:f>
        <x:v>137.52</x:v>
      </x:c>
      <x:c r="P13" s="166" t="str">
        <x:v>微信支付</x:v>
      </x:c>
      <x:c r="Q13" s="169" t="str"/>
    </x:row>
    <x:row r="14">
      <x:c r="A14" s="165" t="n">
        <x:v>46248</x:v>
      </x:c>
      <x:c r="B14" s="166" t="str">
        <x:v>S001</x:v>
      </x:c>
      <x:c r="C14" s="182" t="str">
        <x:f>IFERROR(INDEX('门店主数据'!$B$5:$B$8,MATCH(B14,'门店主数据'!$A$5:$A$8,0)),"")</x:f>
        <x:v>人民广场店</x:v>
      </x:c>
      <x:c r="D14" s="166" t="str">
        <x:v>P010</x:v>
      </x:c>
      <x:c r="E14" s="182" t="str">
        <x:f>IFERROR(INDEX('商品主数据'!$B$5:$B$16,MATCH(D14,'商品主数据'!$A$5:$A$16,0)),"")</x:f>
        <x:v>蓝莓玛芬</x:v>
      </x:c>
      <x:c r="F14" s="182" t="str">
        <x:f>IFERROR(INDEX('商品主数据'!$C$5:$C$16,MATCH(D14,'商品主数据'!$A$5:$A$16,0)),"")</x:f>
        <x:v>烘焙</x:v>
      </x:c>
      <x:c r="G14" s="185" t="n">
        <x:f>IFERROR(INDEX('商品主数据'!$E$5:$E$16,MATCH(D14,'商品主数据'!$A$5:$A$16,0)),"")</x:f>
        <x:v>16</x:v>
      </x:c>
      <x:c r="H14" s="167" t="n">
        <x:v>4</x:v>
      </x:c>
      <x:c r="I14" s="167" t="n">
        <x:v>7</x:v>
      </x:c>
      <x:c r="J14" s="185" t="n">
        <x:f>ROUND(G14*I14,2)</x:f>
        <x:v>112</x:v>
      </x:c>
      <x:c r="K14" s="168" t="n">
        <x:v>3.36</x:v>
      </x:c>
      <x:c r="L14" s="185" t="n">
        <x:f>ROUND(J14-K14,2)</x:f>
        <x:v>108.64</x:v>
      </x:c>
      <x:c r="M14" s="185" t="n">
        <x:f>IFERROR(INDEX('商品主数据'!$F$5:$F$16,MATCH(D14,'商品主数据'!$A$5:$A$16,0)),"")</x:f>
        <x:v>5</x:v>
      </x:c>
      <x:c r="N14" s="185" t="n">
        <x:f>ROUND(M14*I14,2)</x:f>
        <x:v>35</x:v>
      </x:c>
      <x:c r="O14" s="185" t="n">
        <x:f>ROUND(L14-N14,2)</x:f>
        <x:v>73.64</x:v>
      </x:c>
      <x:c r="P14" s="166" t="str">
        <x:v>支付宝</x:v>
      </x:c>
      <x:c r="Q14" s="169" t="str"/>
    </x:row>
    <x:row r="15">
      <x:c r="A15" s="165" t="n">
        <x:v>46248</x:v>
      </x:c>
      <x:c r="B15" s="166" t="str">
        <x:v>S001</x:v>
      </x:c>
      <x:c r="C15" s="182" t="str">
        <x:f>IFERROR(INDEX('门店主数据'!$B$5:$B$8,MATCH(B15,'门店主数据'!$A$5:$A$8,0)),"")</x:f>
        <x:v>人民广场店</x:v>
      </x:c>
      <x:c r="D15" s="166" t="str">
        <x:v>P011</x:v>
      </x:c>
      <x:c r="E15" s="182" t="str">
        <x:f>IFERROR(INDEX('商品主数据'!$B$5:$B$16,MATCH(D15,'商品主数据'!$A$5:$A$16,0)),"")</x:f>
        <x:v>火腿芝士三明治</x:v>
      </x:c>
      <x:c r="F15" s="182" t="str">
        <x:f>IFERROR(INDEX('商品主数据'!$C$5:$C$16,MATCH(D15,'商品主数据'!$A$5:$A$16,0)),"")</x:f>
        <x:v>轻食</x:v>
      </x:c>
      <x:c r="G15" s="185" t="n">
        <x:f>IFERROR(INDEX('商品主数据'!$E$5:$E$16,MATCH(D15,'商品主数据'!$A$5:$A$16,0)),"")</x:f>
        <x:v>32</x:v>
      </x:c>
      <x:c r="H15" s="167" t="n">
        <x:v>3</x:v>
      </x:c>
      <x:c r="I15" s="167" t="n">
        <x:v>5</x:v>
      </x:c>
      <x:c r="J15" s="185" t="n">
        <x:f>ROUND(G15*I15,2)</x:f>
        <x:v>160</x:v>
      </x:c>
      <x:c r="K15" s="168" t="n">
        <x:v>12.8</x:v>
      </x:c>
      <x:c r="L15" s="185" t="n">
        <x:f>ROUND(J15-K15,2)</x:f>
        <x:v>147.2</x:v>
      </x:c>
      <x:c r="M15" s="185" t="n">
        <x:f>IFERROR(INDEX('商品主数据'!$F$5:$F$16,MATCH(D15,'商品主数据'!$A$5:$A$16,0)),"")</x:f>
        <x:v>13</x:v>
      </x:c>
      <x:c r="N15" s="185" t="n">
        <x:f>ROUND(M15*I15,2)</x:f>
        <x:v>65</x:v>
      </x:c>
      <x:c r="O15" s="185" t="n">
        <x:f>ROUND(L15-N15,2)</x:f>
        <x:v>82.2</x:v>
      </x:c>
      <x:c r="P15" s="166" t="str">
        <x:v>银行卡</x:v>
      </x:c>
      <x:c r="Q15" s="169" t="str"/>
    </x:row>
    <x:row r="16">
      <x:c r="A16" s="165" t="n">
        <x:v>46248</x:v>
      </x:c>
      <x:c r="B16" s="166" t="str">
        <x:v>S001</x:v>
      </x:c>
      <x:c r="C16" s="182" t="str">
        <x:f>IFERROR(INDEX('门店主数据'!$B$5:$B$8,MATCH(B16,'门店主数据'!$A$5:$A$8,0)),"")</x:f>
        <x:v>人民广场店</x:v>
      </x:c>
      <x:c r="D16" s="166" t="str">
        <x:v>P012</x:v>
      </x:c>
      <x:c r="E16" s="182" t="str">
        <x:f>IFERROR(INDEX('商品主数据'!$B$5:$B$16,MATCH(D16,'商品主数据'!$A$5:$A$16,0)),"")</x:f>
        <x:v>燕麦奶加料</x:v>
      </x:c>
      <x:c r="F16" s="182" t="str">
        <x:f>IFERROR(INDEX('商品主数据'!$C$5:$C$16,MATCH(D16,'商品主数据'!$A$5:$A$16,0)),"")</x:f>
        <x:v>加料</x:v>
      </x:c>
      <x:c r="G16" s="185" t="n">
        <x:f>IFERROR(INDEX('商品主数据'!$E$5:$E$16,MATCH(D16,'商品主数据'!$A$5:$A$16,0)),"")</x:f>
        <x:v>5</x:v>
      </x:c>
      <x:c r="H16" s="167" t="n">
        <x:v>1</x:v>
      </x:c>
      <x:c r="I16" s="167" t="n">
        <x:v>4</x:v>
      </x:c>
      <x:c r="J16" s="185" t="n">
        <x:f>ROUND(G16*I16,2)</x:f>
        <x:v>20</x:v>
      </x:c>
      <x:c r="K16" s="168" t="n">
        <x:v>0.6</x:v>
      </x:c>
      <x:c r="L16" s="185" t="n">
        <x:f>ROUND(J16-K16,2)</x:f>
        <x:v>19.4</x:v>
      </x:c>
      <x:c r="M16" s="185" t="n">
        <x:f>IFERROR(INDEX('商品主数据'!$F$5:$F$16,MATCH(D16,'商品主数据'!$A$5:$A$16,0)),"")</x:f>
        <x:v>1.8</x:v>
      </x:c>
      <x:c r="N16" s="185" t="n">
        <x:f>ROUND(M16*I16,2)</x:f>
        <x:v>7.2</x:v>
      </x:c>
      <x:c r="O16" s="185" t="n">
        <x:f>ROUND(L16-N16,2)</x:f>
        <x:v>12.2</x:v>
      </x:c>
      <x:c r="P16" s="166" t="str">
        <x:v>现金</x:v>
      </x:c>
      <x:c r="Q16" s="169" t="str"/>
    </x:row>
    <x:row r="17">
      <x:c r="A17" s="165" t="n">
        <x:v>46248</x:v>
      </x:c>
      <x:c r="B17" s="166" t="str">
        <x:v>S002</x:v>
      </x:c>
      <x:c r="C17" s="182" t="str">
        <x:f>IFERROR(INDEX('门店主数据'!$B$5:$B$8,MATCH(B17,'门店主数据'!$A$5:$A$8,0)),"")</x:f>
        <x:v>滨江店</x:v>
      </x:c>
      <x:c r="D17" s="166" t="str">
        <x:v>P001</x:v>
      </x:c>
      <x:c r="E17" s="182" t="str">
        <x:f>IFERROR(INDEX('商品主数据'!$B$5:$B$16,MATCH(D17,'商品主数据'!$A$5:$A$16,0)),"")</x:f>
        <x:v>浓缩咖啡</x:v>
      </x:c>
      <x:c r="F17" s="182" t="str">
        <x:f>IFERROR(INDEX('商品主数据'!$C$5:$C$16,MATCH(D17,'商品主数据'!$A$5:$A$16,0)),"")</x:f>
        <x:v>咖啡</x:v>
      </x:c>
      <x:c r="G17" s="185" t="n">
        <x:f>IFERROR(INDEX('商品主数据'!$E$5:$E$16,MATCH(D17,'商品主数据'!$A$5:$A$16,0)),"")</x:f>
        <x:v>22</x:v>
      </x:c>
      <x:c r="H17" s="167" t="n">
        <x:v>5</x:v>
      </x:c>
      <x:c r="I17" s="167" t="n">
        <x:v>7</x:v>
      </x:c>
      <x:c r="J17" s="185" t="n">
        <x:f>ROUND(G17*I17,2)</x:f>
        <x:v>154</x:v>
      </x:c>
      <x:c r="K17" s="168" t="n">
        <x:v>4.62</x:v>
      </x:c>
      <x:c r="L17" s="185" t="n">
        <x:f>ROUND(J17-K17,2)</x:f>
        <x:v>149.38</x:v>
      </x:c>
      <x:c r="M17" s="185" t="n">
        <x:f>IFERROR(INDEX('商品主数据'!$F$5:$F$16,MATCH(D17,'商品主数据'!$A$5:$A$16,0)),"")</x:f>
        <x:v>5.5</x:v>
      </x:c>
      <x:c r="N17" s="185" t="n">
        <x:f>ROUND(M17*I17,2)</x:f>
        <x:v>38.5</x:v>
      </x:c>
      <x:c r="O17" s="185" t="n">
        <x:f>ROUND(L17-N17,2)</x:f>
        <x:v>110.88</x:v>
      </x:c>
      <x:c r="P17" s="166" t="str">
        <x:v>支付宝</x:v>
      </x:c>
      <x:c r="Q17" s="169" t="str"/>
    </x:row>
    <x:row r="18">
      <x:c r="A18" s="165" t="n">
        <x:v>46248</x:v>
      </x:c>
      <x:c r="B18" s="166" t="str">
        <x:v>S002</x:v>
      </x:c>
      <x:c r="C18" s="182" t="str">
        <x:f>IFERROR(INDEX('门店主数据'!$B$5:$B$8,MATCH(B18,'门店主数据'!$A$5:$A$8,0)),"")</x:f>
        <x:v>滨江店</x:v>
      </x:c>
      <x:c r="D18" s="166" t="str">
        <x:v>P002</x:v>
      </x:c>
      <x:c r="E18" s="182" t="str">
        <x:f>IFERROR(INDEX('商品主数据'!$B$5:$B$16,MATCH(D18,'商品主数据'!$A$5:$A$16,0)),"")</x:f>
        <x:v>美式咖啡</x:v>
      </x:c>
      <x:c r="F18" s="182" t="str">
        <x:f>IFERROR(INDEX('商品主数据'!$C$5:$C$16,MATCH(D18,'商品主数据'!$A$5:$A$16,0)),"")</x:f>
        <x:v>咖啡</x:v>
      </x:c>
      <x:c r="G18" s="185" t="n">
        <x:f>IFERROR(INDEX('商品主数据'!$E$5:$E$16,MATCH(D18,'商品主数据'!$A$5:$A$16,0)),"")</x:f>
        <x:v>26</x:v>
      </x:c>
      <x:c r="H18" s="167" t="n">
        <x:v>14</x:v>
      </x:c>
      <x:c r="I18" s="167" t="n">
        <x:v>17</x:v>
      </x:c>
      <x:c r="J18" s="185" t="n">
        <x:f>ROUND(G18*I18,2)</x:f>
        <x:v>442</x:v>
      </x:c>
      <x:c r="K18" s="168" t="n">
        <x:v>13.26</x:v>
      </x:c>
      <x:c r="L18" s="185" t="n">
        <x:f>ROUND(J18-K18,2)</x:f>
        <x:v>428.74</x:v>
      </x:c>
      <x:c r="M18" s="185" t="n">
        <x:f>IFERROR(INDEX('商品主数据'!$F$5:$F$16,MATCH(D18,'商品主数据'!$A$5:$A$16,0)),"")</x:f>
        <x:v>6</x:v>
      </x:c>
      <x:c r="N18" s="185" t="n">
        <x:f>ROUND(M18*I18,2)</x:f>
        <x:v>102</x:v>
      </x:c>
      <x:c r="O18" s="185" t="n">
        <x:f>ROUND(L18-N18,2)</x:f>
        <x:v>326.74</x:v>
      </x:c>
      <x:c r="P18" s="166" t="str">
        <x:v>银行卡</x:v>
      </x:c>
      <x:c r="Q18" s="169" t="str"/>
    </x:row>
    <x:row r="19">
      <x:c r="A19" s="165" t="n">
        <x:v>46248</x:v>
      </x:c>
      <x:c r="B19" s="166" t="str">
        <x:v>S002</x:v>
      </x:c>
      <x:c r="C19" s="182" t="str">
        <x:f>IFERROR(INDEX('门店主数据'!$B$5:$B$8,MATCH(B19,'门店主数据'!$A$5:$A$8,0)),"")</x:f>
        <x:v>滨江店</x:v>
      </x:c>
      <x:c r="D19" s="166" t="str">
        <x:v>P003</x:v>
      </x:c>
      <x:c r="E19" s="182" t="str">
        <x:f>IFERROR(INDEX('商品主数据'!$B$5:$B$16,MATCH(D19,'商品主数据'!$A$5:$A$16,0)),"")</x:f>
        <x:v>拿铁咖啡</x:v>
      </x:c>
      <x:c r="F19" s="182" t="str">
        <x:f>IFERROR(INDEX('商品主数据'!$C$5:$C$16,MATCH(D19,'商品主数据'!$A$5:$A$16,0)),"")</x:f>
        <x:v>咖啡</x:v>
      </x:c>
      <x:c r="G19" s="185" t="n">
        <x:f>IFERROR(INDEX('商品主数据'!$E$5:$E$16,MATCH(D19,'商品主数据'!$A$5:$A$16,0)),"")</x:f>
        <x:v>32</x:v>
      </x:c>
      <x:c r="H19" s="167" t="n">
        <x:v>9</x:v>
      </x:c>
      <x:c r="I19" s="167" t="n">
        <x:v>12</x:v>
      </x:c>
      <x:c r="J19" s="185" t="n">
        <x:f>ROUND(G19*I19,2)</x:f>
        <x:v>384</x:v>
      </x:c>
      <x:c r="K19" s="168" t="n">
        <x:v>11.52</x:v>
      </x:c>
      <x:c r="L19" s="185" t="n">
        <x:f>ROUND(J19-K19,2)</x:f>
        <x:v>372.48</x:v>
      </x:c>
      <x:c r="M19" s="185" t="n">
        <x:f>IFERROR(INDEX('商品主数据'!$F$5:$F$16,MATCH(D19,'商品主数据'!$A$5:$A$16,0)),"")</x:f>
        <x:v>8.5</x:v>
      </x:c>
      <x:c r="N19" s="185" t="n">
        <x:f>ROUND(M19*I19,2)</x:f>
        <x:v>102</x:v>
      </x:c>
      <x:c r="O19" s="185" t="n">
        <x:f>ROUND(L19-N19,2)</x:f>
        <x:v>270.48</x:v>
      </x:c>
      <x:c r="P19" s="166" t="str">
        <x:v>现金</x:v>
      </x:c>
      <x:c r="Q19" s="169" t="str"/>
    </x:row>
    <x:row r="20">
      <x:c r="A20" s="165" t="n">
        <x:v>46248</x:v>
      </x:c>
      <x:c r="B20" s="166" t="str">
        <x:v>S002</x:v>
      </x:c>
      <x:c r="C20" s="182" t="str">
        <x:f>IFERROR(INDEX('门店主数据'!$B$5:$B$8,MATCH(B20,'门店主数据'!$A$5:$A$8,0)),"")</x:f>
        <x:v>滨江店</x:v>
      </x:c>
      <x:c r="D20" s="166" t="str">
        <x:v>P004</x:v>
      </x:c>
      <x:c r="E20" s="182" t="str">
        <x:f>IFERROR(INDEX('商品主数据'!$B$5:$B$16,MATCH(D20,'商品主数据'!$A$5:$A$16,0)),"")</x:f>
        <x:v>卡布奇诺</x:v>
      </x:c>
      <x:c r="F20" s="182" t="str">
        <x:f>IFERROR(INDEX('商品主数据'!$C$5:$C$16,MATCH(D20,'商品主数据'!$A$5:$A$16,0)),"")</x:f>
        <x:v>咖啡</x:v>
      </x:c>
      <x:c r="G20" s="185" t="n">
        <x:f>IFERROR(INDEX('商品主数据'!$E$5:$E$16,MATCH(D20,'商品主数据'!$A$5:$A$16,0)),"")</x:f>
        <x:v>32</x:v>
      </x:c>
      <x:c r="H20" s="167" t="n">
        <x:v>6</x:v>
      </x:c>
      <x:c r="I20" s="167" t="n">
        <x:v>8</x:v>
      </x:c>
      <x:c r="J20" s="185" t="n">
        <x:f>ROUND(G20*I20,2)</x:f>
        <x:v>256</x:v>
      </x:c>
      <x:c r="K20" s="168" t="n">
        <x:v>7.68</x:v>
      </x:c>
      <x:c r="L20" s="185" t="n">
        <x:f>ROUND(J20-K20,2)</x:f>
        <x:v>248.32</x:v>
      </x:c>
      <x:c r="M20" s="185" t="n">
        <x:f>IFERROR(INDEX('商品主数据'!$F$5:$F$16,MATCH(D20,'商品主数据'!$A$5:$A$16,0)),"")</x:f>
        <x:v>8.5</x:v>
      </x:c>
      <x:c r="N20" s="185" t="n">
        <x:f>ROUND(M20*I20,2)</x:f>
        <x:v>68</x:v>
      </x:c>
      <x:c r="O20" s="185" t="n">
        <x:f>ROUND(L20-N20,2)</x:f>
        <x:v>180.32</x:v>
      </x:c>
      <x:c r="P20" s="166" t="str">
        <x:v>微信支付</x:v>
      </x:c>
      <x:c r="Q20" s="169" t="str"/>
    </x:row>
    <x:row r="21">
      <x:c r="A21" s="165" t="n">
        <x:v>46248</x:v>
      </x:c>
      <x:c r="B21" s="166" t="str">
        <x:v>S002</x:v>
      </x:c>
      <x:c r="C21" s="182" t="str">
        <x:f>IFERROR(INDEX('门店主数据'!$B$5:$B$8,MATCH(B21,'门店主数据'!$A$5:$A$8,0)),"")</x:f>
        <x:v>滨江店</x:v>
      </x:c>
      <x:c r="D21" s="166" t="str">
        <x:v>P005</x:v>
      </x:c>
      <x:c r="E21" s="182" t="str">
        <x:f>IFERROR(INDEX('商品主数据'!$B$5:$B$16,MATCH(D21,'商品主数据'!$A$5:$A$16,0)),"")</x:f>
        <x:v>摩卡咖啡</x:v>
      </x:c>
      <x:c r="F21" s="182" t="str">
        <x:f>IFERROR(INDEX('商品主数据'!$C$5:$C$16,MATCH(D21,'商品主数据'!$A$5:$A$16,0)),"")</x:f>
        <x:v>咖啡</x:v>
      </x:c>
      <x:c r="G21" s="185" t="n">
        <x:f>IFERROR(INDEX('商品主数据'!$E$5:$E$16,MATCH(D21,'商品主数据'!$A$5:$A$16,0)),"")</x:f>
        <x:v>36</x:v>
      </x:c>
      <x:c r="H21" s="167" t="n">
        <x:v>4</x:v>
      </x:c>
      <x:c r="I21" s="167" t="n">
        <x:v>6</x:v>
      </x:c>
      <x:c r="J21" s="185" t="n">
        <x:f>ROUND(G21*I21,2)</x:f>
        <x:v>216</x:v>
      </x:c>
      <x:c r="K21" s="168" t="n">
        <x:v>17.28</x:v>
      </x:c>
      <x:c r="L21" s="185" t="n">
        <x:f>ROUND(J21-K21,2)</x:f>
        <x:v>198.72</x:v>
      </x:c>
      <x:c r="M21" s="185" t="n">
        <x:f>IFERROR(INDEX('商品主数据'!$F$5:$F$16,MATCH(D21,'商品主数据'!$A$5:$A$16,0)),"")</x:f>
        <x:v>10</x:v>
      </x:c>
      <x:c r="N21" s="185" t="n">
        <x:f>ROUND(M21*I21,2)</x:f>
        <x:v>60</x:v>
      </x:c>
      <x:c r="O21" s="185" t="n">
        <x:f>ROUND(L21-N21,2)</x:f>
        <x:v>138.72</x:v>
      </x:c>
      <x:c r="P21" s="166" t="str">
        <x:v>支付宝</x:v>
      </x:c>
      <x:c r="Q21" s="169" t="str"/>
    </x:row>
    <x:row r="22">
      <x:c r="A22" s="165" t="n">
        <x:v>46248</x:v>
      </x:c>
      <x:c r="B22" s="166" t="str">
        <x:v>S002</x:v>
      </x:c>
      <x:c r="C22" s="182" t="str">
        <x:f>IFERROR(INDEX('门店主数据'!$B$5:$B$8,MATCH(B22,'门店主数据'!$A$5:$A$8,0)),"")</x:f>
        <x:v>滨江店</x:v>
      </x:c>
      <x:c r="D22" s="166" t="str">
        <x:v>P006</x:v>
      </x:c>
      <x:c r="E22" s="182" t="str">
        <x:f>IFERROR(INDEX('商品主数据'!$B$5:$B$16,MATCH(D22,'商品主数据'!$A$5:$A$16,0)),"")</x:f>
        <x:v>冷萃咖啡</x:v>
      </x:c>
      <x:c r="F22" s="182" t="str">
        <x:f>IFERROR(INDEX('商品主数据'!$C$5:$C$16,MATCH(D22,'商品主数据'!$A$5:$A$16,0)),"")</x:f>
        <x:v>咖啡</x:v>
      </x:c>
      <x:c r="G22" s="185" t="n">
        <x:f>IFERROR(INDEX('商品主数据'!$E$5:$E$16,MATCH(D22,'商品主数据'!$A$5:$A$16,0)),"")</x:f>
        <x:v>34</x:v>
      </x:c>
      <x:c r="H22" s="167" t="n">
        <x:v>4</x:v>
      </x:c>
      <x:c r="I22" s="167" t="n">
        <x:v>5</x:v>
      </x:c>
      <x:c r="J22" s="185" t="n">
        <x:f>ROUND(G22*I22,2)</x:f>
        <x:v>170</x:v>
      </x:c>
      <x:c r="K22" s="168" t="n">
        <x:v>5.1</x:v>
      </x:c>
      <x:c r="L22" s="185" t="n">
        <x:f>ROUND(J22-K22,2)</x:f>
        <x:v>164.9</x:v>
      </x:c>
      <x:c r="M22" s="185" t="n">
        <x:f>IFERROR(INDEX('商品主数据'!$F$5:$F$16,MATCH(D22,'商品主数据'!$A$5:$A$16,0)),"")</x:f>
        <x:v>9.5</x:v>
      </x:c>
      <x:c r="N22" s="185" t="n">
        <x:f>ROUND(M22*I22,2)</x:f>
        <x:v>47.5</x:v>
      </x:c>
      <x:c r="O22" s="185" t="n">
        <x:f>ROUND(L22-N22,2)</x:f>
        <x:v>117.4</x:v>
      </x:c>
      <x:c r="P22" s="166" t="str">
        <x:v>银行卡</x:v>
      </x:c>
      <x:c r="Q22" s="169" t="str"/>
    </x:row>
    <x:row r="23">
      <x:c r="A23" s="165" t="n">
        <x:v>46248</x:v>
      </x:c>
      <x:c r="B23" s="166" t="str">
        <x:v>S002</x:v>
      </x:c>
      <x:c r="C23" s="182" t="str">
        <x:f>IFERROR(INDEX('门店主数据'!$B$5:$B$8,MATCH(B23,'门店主数据'!$A$5:$A$8,0)),"")</x:f>
        <x:v>滨江店</x:v>
      </x:c>
      <x:c r="D23" s="166" t="str">
        <x:v>P007</x:v>
      </x:c>
      <x:c r="E23" s="182" t="str">
        <x:f>IFERROR(INDEX('商品主数据'!$B$5:$B$16,MATCH(D23,'商品主数据'!$A$5:$A$16,0)),"")</x:f>
        <x:v>抹茶拿铁</x:v>
      </x:c>
      <x:c r="F23" s="182" t="str">
        <x:f>IFERROR(INDEX('商品主数据'!$C$5:$C$16,MATCH(D23,'商品主数据'!$A$5:$A$16,0)),"")</x:f>
        <x:v>茶饮</x:v>
      </x:c>
      <x:c r="G23" s="185" t="n">
        <x:f>IFERROR(INDEX('商品主数据'!$E$5:$E$16,MATCH(D23,'商品主数据'!$A$5:$A$16,0)),"")</x:f>
        <x:v>34</x:v>
      </x:c>
      <x:c r="H23" s="167" t="n">
        <x:v>3</x:v>
      </x:c>
      <x:c r="I23" s="167" t="n">
        <x:v>5</x:v>
      </x:c>
      <x:c r="J23" s="185" t="n">
        <x:f>ROUND(G23*I23,2)</x:f>
        <x:v>170</x:v>
      </x:c>
      <x:c r="K23" s="168" t="n">
        <x:v>5.1</x:v>
      </x:c>
      <x:c r="L23" s="185" t="n">
        <x:f>ROUND(J23-K23,2)</x:f>
        <x:v>164.9</x:v>
      </x:c>
      <x:c r="M23" s="185" t="n">
        <x:f>IFERROR(INDEX('商品主数据'!$F$5:$F$16,MATCH(D23,'商品主数据'!$A$5:$A$16,0)),"")</x:f>
        <x:v>9</x:v>
      </x:c>
      <x:c r="N23" s="185" t="n">
        <x:f>ROUND(M23*I23,2)</x:f>
        <x:v>45</x:v>
      </x:c>
      <x:c r="O23" s="185" t="n">
        <x:f>ROUND(L23-N23,2)</x:f>
        <x:v>119.9</x:v>
      </x:c>
      <x:c r="P23" s="166" t="str">
        <x:v>现金</x:v>
      </x:c>
      <x:c r="Q23" s="169" t="str"/>
    </x:row>
    <x:row r="24">
      <x:c r="A24" s="165" t="n">
        <x:v>46248</x:v>
      </x:c>
      <x:c r="B24" s="166" t="str">
        <x:v>S002</x:v>
      </x:c>
      <x:c r="C24" s="182" t="str">
        <x:f>IFERROR(INDEX('门店主数据'!$B$5:$B$8,MATCH(B24,'门店主数据'!$A$5:$A$8,0)),"")</x:f>
        <x:v>滨江店</x:v>
      </x:c>
      <x:c r="D24" s="166" t="str">
        <x:v>P008</x:v>
      </x:c>
      <x:c r="E24" s="182" t="str">
        <x:f>IFERROR(INDEX('商品主数据'!$B$5:$B$16,MATCH(D24,'商品主数据'!$A$5:$A$16,0)),"")</x:f>
        <x:v>海盐芝士蛋糕</x:v>
      </x:c>
      <x:c r="F24" s="182" t="str">
        <x:f>IFERROR(INDEX('商品主数据'!$C$5:$C$16,MATCH(D24,'商品主数据'!$A$5:$A$16,0)),"")</x:f>
        <x:v>烘焙</x:v>
      </x:c>
      <x:c r="G24" s="185" t="n">
        <x:f>IFERROR(INDEX('商品主数据'!$E$5:$E$16,MATCH(D24,'商品主数据'!$A$5:$A$16,0)),"")</x:f>
        <x:v>38</x:v>
      </x:c>
      <x:c r="H24" s="167" t="n">
        <x:v>2</x:v>
      </x:c>
      <x:c r="I24" s="167" t="n">
        <x:v>5</x:v>
      </x:c>
      <x:c r="J24" s="185" t="n">
        <x:f>ROUND(G24*I24,2)</x:f>
        <x:v>190</x:v>
      </x:c>
      <x:c r="K24" s="168" t="n">
        <x:v>5.7</x:v>
      </x:c>
      <x:c r="L24" s="185" t="n">
        <x:f>ROUND(J24-K24,2)</x:f>
        <x:v>184.3</x:v>
      </x:c>
      <x:c r="M24" s="185" t="n">
        <x:f>IFERROR(INDEX('商品主数据'!$F$5:$F$16,MATCH(D24,'商品主数据'!$A$5:$A$16,0)),"")</x:f>
        <x:v>16</x:v>
      </x:c>
      <x:c r="N24" s="185" t="n">
        <x:f>ROUND(M24*I24,2)</x:f>
        <x:v>80</x:v>
      </x:c>
      <x:c r="O24" s="185" t="n">
        <x:f>ROUND(L24-N24,2)</x:f>
        <x:v>104.3</x:v>
      </x:c>
      <x:c r="P24" s="166" t="str">
        <x:v>微信支付</x:v>
      </x:c>
      <x:c r="Q24" s="169" t="str"/>
    </x:row>
    <x:row r="25">
      <x:c r="A25" s="165" t="n">
        <x:v>46248</x:v>
      </x:c>
      <x:c r="B25" s="166" t="str">
        <x:v>S002</x:v>
      </x:c>
      <x:c r="C25" s="182" t="str">
        <x:f>IFERROR(INDEX('门店主数据'!$B$5:$B$8,MATCH(B25,'门店主数据'!$A$5:$A$8,0)),"")</x:f>
        <x:v>滨江店</x:v>
      </x:c>
      <x:c r="D25" s="166" t="str">
        <x:v>P009</x:v>
      </x:c>
      <x:c r="E25" s="182" t="str">
        <x:f>IFERROR(INDEX('商品主数据'!$B$5:$B$16,MATCH(D25,'商品主数据'!$A$5:$A$16,0)),"")</x:f>
        <x:v>黄油可颂</x:v>
      </x:c>
      <x:c r="F25" s="182" t="str">
        <x:f>IFERROR(INDEX('商品主数据'!$C$5:$C$16,MATCH(D25,'商品主数据'!$A$5:$A$16,0)),"")</x:f>
        <x:v>烘焙</x:v>
      </x:c>
      <x:c r="G25" s="185" t="n">
        <x:f>IFERROR(INDEX('商品主数据'!$E$5:$E$16,MATCH(D25,'商品主数据'!$A$5:$A$16,0)),"")</x:f>
        <x:v>18</x:v>
      </x:c>
      <x:c r="H25" s="167" t="n">
        <x:v>6</x:v>
      </x:c>
      <x:c r="I25" s="167" t="n">
        <x:v>8</x:v>
      </x:c>
      <x:c r="J25" s="185" t="n">
        <x:f>ROUND(G25*I25,2)</x:f>
        <x:v>144</x:v>
      </x:c>
      <x:c r="K25" s="168" t="n">
        <x:v>4.32</x:v>
      </x:c>
      <x:c r="L25" s="185" t="n">
        <x:f>ROUND(J25-K25,2)</x:f>
        <x:v>139.68</x:v>
      </x:c>
      <x:c r="M25" s="185" t="n">
        <x:f>IFERROR(INDEX('商品主数据'!$F$5:$F$16,MATCH(D25,'商品主数据'!$A$5:$A$16,0)),"")</x:f>
        <x:v>6</x:v>
      </x:c>
      <x:c r="N25" s="185" t="n">
        <x:f>ROUND(M25*I25,2)</x:f>
        <x:v>48</x:v>
      </x:c>
      <x:c r="O25" s="185" t="n">
        <x:f>ROUND(L25-N25,2)</x:f>
        <x:v>91.68</x:v>
      </x:c>
      <x:c r="P25" s="166" t="str">
        <x:v>支付宝</x:v>
      </x:c>
      <x:c r="Q25" s="169" t="str"/>
    </x:row>
    <x:row r="26">
      <x:c r="A26" s="165" t="n">
        <x:v>46248</x:v>
      </x:c>
      <x:c r="B26" s="166" t="str">
        <x:v>S002</x:v>
      </x:c>
      <x:c r="C26" s="182" t="str">
        <x:f>IFERROR(INDEX('门店主数据'!$B$5:$B$8,MATCH(B26,'门店主数据'!$A$5:$A$8,0)),"")</x:f>
        <x:v>滨江店</x:v>
      </x:c>
      <x:c r="D26" s="166" t="str">
        <x:v>P010</x:v>
      </x:c>
      <x:c r="E26" s="182" t="str">
        <x:f>IFERROR(INDEX('商品主数据'!$B$5:$B$16,MATCH(D26,'商品主数据'!$A$5:$A$16,0)),"")</x:f>
        <x:v>蓝莓玛芬</x:v>
      </x:c>
      <x:c r="F26" s="182" t="str">
        <x:f>IFERROR(INDEX('商品主数据'!$C$5:$C$16,MATCH(D26,'商品主数据'!$A$5:$A$16,0)),"")</x:f>
        <x:v>烘焙</x:v>
      </x:c>
      <x:c r="G26" s="185" t="n">
        <x:f>IFERROR(INDEX('商品主数据'!$E$5:$E$16,MATCH(D26,'商品主数据'!$A$5:$A$16,0)),"")</x:f>
        <x:v>16</x:v>
      </x:c>
      <x:c r="H26" s="167" t="n">
        <x:v>4</x:v>
      </x:c>
      <x:c r="I26" s="167" t="n">
        <x:v>6</x:v>
      </x:c>
      <x:c r="J26" s="185" t="n">
        <x:f>ROUND(G26*I26,2)</x:f>
        <x:v>96</x:v>
      </x:c>
      <x:c r="K26" s="168" t="n">
        <x:v>7.68</x:v>
      </x:c>
      <x:c r="L26" s="185" t="n">
        <x:f>ROUND(J26-K26,2)</x:f>
        <x:v>88.32</x:v>
      </x:c>
      <x:c r="M26" s="185" t="n">
        <x:f>IFERROR(INDEX('商品主数据'!$F$5:$F$16,MATCH(D26,'商品主数据'!$A$5:$A$16,0)),"")</x:f>
        <x:v>5</x:v>
      </x:c>
      <x:c r="N26" s="185" t="n">
        <x:f>ROUND(M26*I26,2)</x:f>
        <x:v>30</x:v>
      </x:c>
      <x:c r="O26" s="185" t="n">
        <x:f>ROUND(L26-N26,2)</x:f>
        <x:v>58.32</x:v>
      </x:c>
      <x:c r="P26" s="166" t="str">
        <x:v>银行卡</x:v>
      </x:c>
      <x:c r="Q26" s="169" t="str"/>
    </x:row>
    <x:row r="27">
      <x:c r="A27" s="165" t="n">
        <x:v>46248</x:v>
      </x:c>
      <x:c r="B27" s="166" t="str">
        <x:v>S002</x:v>
      </x:c>
      <x:c r="C27" s="182" t="str">
        <x:f>IFERROR(INDEX('门店主数据'!$B$5:$B$8,MATCH(B27,'门店主数据'!$A$5:$A$8,0)),"")</x:f>
        <x:v>滨江店</x:v>
      </x:c>
      <x:c r="D27" s="166" t="str">
        <x:v>P011</x:v>
      </x:c>
      <x:c r="E27" s="182" t="str">
        <x:f>IFERROR(INDEX('商品主数据'!$B$5:$B$16,MATCH(D27,'商品主数据'!$A$5:$A$16,0)),"")</x:f>
        <x:v>火腿芝士三明治</x:v>
      </x:c>
      <x:c r="F27" s="182" t="str">
        <x:f>IFERROR(INDEX('商品主数据'!$C$5:$C$16,MATCH(D27,'商品主数据'!$A$5:$A$16,0)),"")</x:f>
        <x:v>轻食</x:v>
      </x:c>
      <x:c r="G27" s="185" t="n">
        <x:f>IFERROR(INDEX('商品主数据'!$E$5:$E$16,MATCH(D27,'商品主数据'!$A$5:$A$16,0)),"")</x:f>
        <x:v>32</x:v>
      </x:c>
      <x:c r="H27" s="167" t="n">
        <x:v>3</x:v>
      </x:c>
      <x:c r="I27" s="167" t="n">
        <x:v>6</x:v>
      </x:c>
      <x:c r="J27" s="185" t="n">
        <x:f>ROUND(G27*I27,2)</x:f>
        <x:v>192</x:v>
      </x:c>
      <x:c r="K27" s="168" t="n">
        <x:v>5.76</x:v>
      </x:c>
      <x:c r="L27" s="185" t="n">
        <x:f>ROUND(J27-K27,2)</x:f>
        <x:v>186.24</x:v>
      </x:c>
      <x:c r="M27" s="185" t="n">
        <x:f>IFERROR(INDEX('商品主数据'!$F$5:$F$16,MATCH(D27,'商品主数据'!$A$5:$A$16,0)),"")</x:f>
        <x:v>13</x:v>
      </x:c>
      <x:c r="N27" s="185" t="n">
        <x:f>ROUND(M27*I27,2)</x:f>
        <x:v>78</x:v>
      </x:c>
      <x:c r="O27" s="185" t="n">
        <x:f>ROUND(L27-N27,2)</x:f>
        <x:v>108.24</x:v>
      </x:c>
      <x:c r="P27" s="166" t="str">
        <x:v>现金</x:v>
      </x:c>
      <x:c r="Q27" s="169" t="str"/>
    </x:row>
    <x:row r="28">
      <x:c r="A28" s="165" t="n">
        <x:v>46248</x:v>
      </x:c>
      <x:c r="B28" s="166" t="str">
        <x:v>S002</x:v>
      </x:c>
      <x:c r="C28" s="182" t="str">
        <x:f>IFERROR(INDEX('门店主数据'!$B$5:$B$8,MATCH(B28,'门店主数据'!$A$5:$A$8,0)),"")</x:f>
        <x:v>滨江店</x:v>
      </x:c>
      <x:c r="D28" s="166" t="str">
        <x:v>P012</x:v>
      </x:c>
      <x:c r="E28" s="182" t="str">
        <x:f>IFERROR(INDEX('商品主数据'!$B$5:$B$16,MATCH(D28,'商品主数据'!$A$5:$A$16,0)),"")</x:f>
        <x:v>燕麦奶加料</x:v>
      </x:c>
      <x:c r="F28" s="182" t="str">
        <x:f>IFERROR(INDEX('商品主数据'!$C$5:$C$16,MATCH(D28,'商品主数据'!$A$5:$A$16,0)),"")</x:f>
        <x:v>加料</x:v>
      </x:c>
      <x:c r="G28" s="185" t="n">
        <x:f>IFERROR(INDEX('商品主数据'!$E$5:$E$16,MATCH(D28,'商品主数据'!$A$5:$A$16,0)),"")</x:f>
        <x:v>5</x:v>
      </x:c>
      <x:c r="H28" s="167" t="n">
        <x:v>1</x:v>
      </x:c>
      <x:c r="I28" s="167" t="n">
        <x:v>2</x:v>
      </x:c>
      <x:c r="J28" s="185" t="n">
        <x:f>ROUND(G28*I28,2)</x:f>
        <x:v>10</x:v>
      </x:c>
      <x:c r="K28" s="168" t="n">
        <x:v>0.3</x:v>
      </x:c>
      <x:c r="L28" s="185" t="n">
        <x:f>ROUND(J28-K28,2)</x:f>
        <x:v>9.7</x:v>
      </x:c>
      <x:c r="M28" s="185" t="n">
        <x:f>IFERROR(INDEX('商品主数据'!$F$5:$F$16,MATCH(D28,'商品主数据'!$A$5:$A$16,0)),"")</x:f>
        <x:v>1.8</x:v>
      </x:c>
      <x:c r="N28" s="185" t="n">
        <x:f>ROUND(M28*I28,2)</x:f>
        <x:v>3.6</x:v>
      </x:c>
      <x:c r="O28" s="185" t="n">
        <x:f>ROUND(L28-N28,2)</x:f>
        <x:v>6.1</x:v>
      </x:c>
      <x:c r="P28" s="166" t="str">
        <x:v>微信支付</x:v>
      </x:c>
      <x:c r="Q28" s="169" t="str"/>
    </x:row>
    <x:row r="29">
      <x:c r="A29" s="165" t="n">
        <x:v>46248</x:v>
      </x:c>
      <x:c r="B29" s="166" t="str">
        <x:v>S003</x:v>
      </x:c>
      <x:c r="C29" s="182" t="str">
        <x:f>IFERROR(INDEX('门店主数据'!$B$5:$B$8,MATCH(B29,'门店主数据'!$A$5:$A$8,0)),"")</x:f>
        <x:v>大学城店</x:v>
      </x:c>
      <x:c r="D29" s="166" t="str">
        <x:v>P001</x:v>
      </x:c>
      <x:c r="E29" s="182" t="str">
        <x:f>IFERROR(INDEX('商品主数据'!$B$5:$B$16,MATCH(D29,'商品主数据'!$A$5:$A$16,0)),"")</x:f>
        <x:v>浓缩咖啡</x:v>
      </x:c>
      <x:c r="F29" s="182" t="str">
        <x:f>IFERROR(INDEX('商品主数据'!$C$5:$C$16,MATCH(D29,'商品主数据'!$A$5:$A$16,0)),"")</x:f>
        <x:v>咖啡</x:v>
      </x:c>
      <x:c r="G29" s="185" t="n">
        <x:f>IFERROR(INDEX('商品主数据'!$E$5:$E$16,MATCH(D29,'商品主数据'!$A$5:$A$16,0)),"")</x:f>
        <x:v>22</x:v>
      </x:c>
      <x:c r="H29" s="167" t="n">
        <x:v>5</x:v>
      </x:c>
      <x:c r="I29" s="167" t="n">
        <x:v>7</x:v>
      </x:c>
      <x:c r="J29" s="185" t="n">
        <x:f>ROUND(G29*I29,2)</x:f>
        <x:v>154</x:v>
      </x:c>
      <x:c r="K29" s="168" t="n">
        <x:v>4.62</x:v>
      </x:c>
      <x:c r="L29" s="185" t="n">
        <x:f>ROUND(J29-K29,2)</x:f>
        <x:v>149.38</x:v>
      </x:c>
      <x:c r="M29" s="185" t="n">
        <x:f>IFERROR(INDEX('商品主数据'!$F$5:$F$16,MATCH(D29,'商品主数据'!$A$5:$A$16,0)),"")</x:f>
        <x:v>5.5</x:v>
      </x:c>
      <x:c r="N29" s="185" t="n">
        <x:f>ROUND(M29*I29,2)</x:f>
        <x:v>38.5</x:v>
      </x:c>
      <x:c r="O29" s="185" t="n">
        <x:f>ROUND(L29-N29,2)</x:f>
        <x:v>110.88</x:v>
      </x:c>
      <x:c r="P29" s="166" t="str">
        <x:v>银行卡</x:v>
      </x:c>
      <x:c r="Q29" s="169" t="str"/>
    </x:row>
    <x:row r="30">
      <x:c r="A30" s="165" t="n">
        <x:v>46248</x:v>
      </x:c>
      <x:c r="B30" s="166" t="str">
        <x:v>S003</x:v>
      </x:c>
      <x:c r="C30" s="182" t="str">
        <x:f>IFERROR(INDEX('门店主数据'!$B$5:$B$8,MATCH(B30,'门店主数据'!$A$5:$A$8,0)),"")</x:f>
        <x:v>大学城店</x:v>
      </x:c>
      <x:c r="D30" s="166" t="str">
        <x:v>P002</x:v>
      </x:c>
      <x:c r="E30" s="182" t="str">
        <x:f>IFERROR(INDEX('商品主数据'!$B$5:$B$16,MATCH(D30,'商品主数据'!$A$5:$A$16,0)),"")</x:f>
        <x:v>美式咖啡</x:v>
      </x:c>
      <x:c r="F30" s="182" t="str">
        <x:f>IFERROR(INDEX('商品主数据'!$C$5:$C$16,MATCH(D30,'商品主数据'!$A$5:$A$16,0)),"")</x:f>
        <x:v>咖啡</x:v>
      </x:c>
      <x:c r="G30" s="185" t="n">
        <x:f>IFERROR(INDEX('商品主数据'!$E$5:$E$16,MATCH(D30,'商品主数据'!$A$5:$A$16,0)),"")</x:f>
        <x:v>26</x:v>
      </x:c>
      <x:c r="H30" s="167" t="n">
        <x:v>11</x:v>
      </x:c>
      <x:c r="I30" s="167" t="n">
        <x:v>14</x:v>
      </x:c>
      <x:c r="J30" s="185" t="n">
        <x:f>ROUND(G30*I30,2)</x:f>
        <x:v>364</x:v>
      </x:c>
      <x:c r="K30" s="168" t="n">
        <x:v>10.92</x:v>
      </x:c>
      <x:c r="L30" s="185" t="n">
        <x:f>ROUND(J30-K30,2)</x:f>
        <x:v>353.08</x:v>
      </x:c>
      <x:c r="M30" s="185" t="n">
        <x:f>IFERROR(INDEX('商品主数据'!$F$5:$F$16,MATCH(D30,'商品主数据'!$A$5:$A$16,0)),"")</x:f>
        <x:v>6</x:v>
      </x:c>
      <x:c r="N30" s="185" t="n">
        <x:f>ROUND(M30*I30,2)</x:f>
        <x:v>84</x:v>
      </x:c>
      <x:c r="O30" s="185" t="n">
        <x:f>ROUND(L30-N30,2)</x:f>
        <x:v>269.08</x:v>
      </x:c>
      <x:c r="P30" s="166" t="str">
        <x:v>现金</x:v>
      </x:c>
      <x:c r="Q30" s="169" t="str"/>
    </x:row>
    <x:row r="31">
      <x:c r="A31" s="165" t="n">
        <x:v>46248</x:v>
      </x:c>
      <x:c r="B31" s="166" t="str">
        <x:v>S003</x:v>
      </x:c>
      <x:c r="C31" s="182" t="str">
        <x:f>IFERROR(INDEX('门店主数据'!$B$5:$B$8,MATCH(B31,'门店主数据'!$A$5:$A$8,0)),"")</x:f>
        <x:v>大学城店</x:v>
      </x:c>
      <x:c r="D31" s="166" t="str">
        <x:v>P003</x:v>
      </x:c>
      <x:c r="E31" s="182" t="str">
        <x:f>IFERROR(INDEX('商品主数据'!$B$5:$B$16,MATCH(D31,'商品主数据'!$A$5:$A$16,0)),"")</x:f>
        <x:v>拿铁咖啡</x:v>
      </x:c>
      <x:c r="F31" s="182" t="str">
        <x:f>IFERROR(INDEX('商品主数据'!$C$5:$C$16,MATCH(D31,'商品主数据'!$A$5:$A$16,0)),"")</x:f>
        <x:v>咖啡</x:v>
      </x:c>
      <x:c r="G31" s="185" t="n">
        <x:f>IFERROR(INDEX('商品主数据'!$E$5:$E$16,MATCH(D31,'商品主数据'!$A$5:$A$16,0)),"")</x:f>
        <x:v>32</x:v>
      </x:c>
      <x:c r="H31" s="167" t="n">
        <x:v>8</x:v>
      </x:c>
      <x:c r="I31" s="167" t="n">
        <x:v>11</x:v>
      </x:c>
      <x:c r="J31" s="185" t="n">
        <x:f>ROUND(G31*I31,2)</x:f>
        <x:v>352</x:v>
      </x:c>
      <x:c r="K31" s="168" t="n">
        <x:v>10.56</x:v>
      </x:c>
      <x:c r="L31" s="185" t="n">
        <x:f>ROUND(J31-K31,2)</x:f>
        <x:v>341.44</x:v>
      </x:c>
      <x:c r="M31" s="185" t="n">
        <x:f>IFERROR(INDEX('商品主数据'!$F$5:$F$16,MATCH(D31,'商品主数据'!$A$5:$A$16,0)),"")</x:f>
        <x:v>8.5</x:v>
      </x:c>
      <x:c r="N31" s="185" t="n">
        <x:f>ROUND(M31*I31,2)</x:f>
        <x:v>93.5</x:v>
      </x:c>
      <x:c r="O31" s="185" t="n">
        <x:f>ROUND(L31-N31,2)</x:f>
        <x:v>247.94</x:v>
      </x:c>
      <x:c r="P31" s="166" t="str">
        <x:v>微信支付</x:v>
      </x:c>
      <x:c r="Q31" s="169" t="str"/>
    </x:row>
    <x:row r="32">
      <x:c r="A32" s="165" t="n">
        <x:v>46248</x:v>
      </x:c>
      <x:c r="B32" s="166" t="str">
        <x:v>S003</x:v>
      </x:c>
      <x:c r="C32" s="182" t="str">
        <x:f>IFERROR(INDEX('门店主数据'!$B$5:$B$8,MATCH(B32,'门店主数据'!$A$5:$A$8,0)),"")</x:f>
        <x:v>大学城店</x:v>
      </x:c>
      <x:c r="D32" s="166" t="str">
        <x:v>P004</x:v>
      </x:c>
      <x:c r="E32" s="182" t="str">
        <x:f>IFERROR(INDEX('商品主数据'!$B$5:$B$16,MATCH(D32,'商品主数据'!$A$5:$A$16,0)),"")</x:f>
        <x:v>卡布奇诺</x:v>
      </x:c>
      <x:c r="F32" s="182" t="str">
        <x:f>IFERROR(INDEX('商品主数据'!$C$5:$C$16,MATCH(D32,'商品主数据'!$A$5:$A$16,0)),"")</x:f>
        <x:v>咖啡</x:v>
      </x:c>
      <x:c r="G32" s="185" t="n">
        <x:f>IFERROR(INDEX('商品主数据'!$E$5:$E$16,MATCH(D32,'商品主数据'!$A$5:$A$16,0)),"")</x:f>
        <x:v>32</x:v>
      </x:c>
      <x:c r="H32" s="167" t="n">
        <x:v>6</x:v>
      </x:c>
      <x:c r="I32" s="167" t="n">
        <x:v>8</x:v>
      </x:c>
      <x:c r="J32" s="185" t="n">
        <x:f>ROUND(G32*I32,2)</x:f>
        <x:v>256</x:v>
      </x:c>
      <x:c r="K32" s="168" t="n">
        <x:v>20.48</x:v>
      </x:c>
      <x:c r="L32" s="185" t="n">
        <x:f>ROUND(J32-K32,2)</x:f>
        <x:v>235.52</x:v>
      </x:c>
      <x:c r="M32" s="185" t="n">
        <x:f>IFERROR(INDEX('商品主数据'!$F$5:$F$16,MATCH(D32,'商品主数据'!$A$5:$A$16,0)),"")</x:f>
        <x:v>8.5</x:v>
      </x:c>
      <x:c r="N32" s="185" t="n">
        <x:f>ROUND(M32*I32,2)</x:f>
        <x:v>68</x:v>
      </x:c>
      <x:c r="O32" s="185" t="n">
        <x:f>ROUND(L32-N32,2)</x:f>
        <x:v>167.52</x:v>
      </x:c>
      <x:c r="P32" s="166" t="str">
        <x:v>支付宝</x:v>
      </x:c>
      <x:c r="Q32" s="169" t="str"/>
    </x:row>
    <x:row r="33">
      <x:c r="A33" s="165" t="n">
        <x:v>46248</x:v>
      </x:c>
      <x:c r="B33" s="166" t="str">
        <x:v>S003</x:v>
      </x:c>
      <x:c r="C33" s="182" t="str">
        <x:f>IFERROR(INDEX('门店主数据'!$B$5:$B$8,MATCH(B33,'门店主数据'!$A$5:$A$8,0)),"")</x:f>
        <x:v>大学城店</x:v>
      </x:c>
      <x:c r="D33" s="166" t="str">
        <x:v>P005</x:v>
      </x:c>
      <x:c r="E33" s="182" t="str">
        <x:f>IFERROR(INDEX('商品主数据'!$B$5:$B$16,MATCH(D33,'商品主数据'!$A$5:$A$16,0)),"")</x:f>
        <x:v>摩卡咖啡</x:v>
      </x:c>
      <x:c r="F33" s="182" t="str">
        <x:f>IFERROR(INDEX('商品主数据'!$C$5:$C$16,MATCH(D33,'商品主数据'!$A$5:$A$16,0)),"")</x:f>
        <x:v>咖啡</x:v>
      </x:c>
      <x:c r="G33" s="185" t="n">
        <x:f>IFERROR(INDEX('商品主数据'!$E$5:$E$16,MATCH(D33,'商品主数据'!$A$5:$A$16,0)),"")</x:f>
        <x:v>36</x:v>
      </x:c>
      <x:c r="H33" s="167" t="n">
        <x:v>3</x:v>
      </x:c>
      <x:c r="I33" s="167" t="n">
        <x:v>4</x:v>
      </x:c>
      <x:c r="J33" s="185" t="n">
        <x:f>ROUND(G33*I33,2)</x:f>
        <x:v>144</x:v>
      </x:c>
      <x:c r="K33" s="168" t="n">
        <x:v>4.32</x:v>
      </x:c>
      <x:c r="L33" s="185" t="n">
        <x:f>ROUND(J33-K33,2)</x:f>
        <x:v>139.68</x:v>
      </x:c>
      <x:c r="M33" s="185" t="n">
        <x:f>IFERROR(INDEX('商品主数据'!$F$5:$F$16,MATCH(D33,'商品主数据'!$A$5:$A$16,0)),"")</x:f>
        <x:v>10</x:v>
      </x:c>
      <x:c r="N33" s="185" t="n">
        <x:f>ROUND(M33*I33,2)</x:f>
        <x:v>40</x:v>
      </x:c>
      <x:c r="O33" s="185" t="n">
        <x:f>ROUND(L33-N33,2)</x:f>
        <x:v>99.68</x:v>
      </x:c>
      <x:c r="P33" s="166" t="str">
        <x:v>银行卡</x:v>
      </x:c>
      <x:c r="Q33" s="169" t="str"/>
    </x:row>
    <x:row r="34">
      <x:c r="A34" s="165" t="n">
        <x:v>46248</x:v>
      </x:c>
      <x:c r="B34" s="166" t="str">
        <x:v>S003</x:v>
      </x:c>
      <x:c r="C34" s="182" t="str">
        <x:f>IFERROR(INDEX('门店主数据'!$B$5:$B$8,MATCH(B34,'门店主数据'!$A$5:$A$8,0)),"")</x:f>
        <x:v>大学城店</x:v>
      </x:c>
      <x:c r="D34" s="166" t="str">
        <x:v>P006</x:v>
      </x:c>
      <x:c r="E34" s="182" t="str">
        <x:f>IFERROR(INDEX('商品主数据'!$B$5:$B$16,MATCH(D34,'商品主数据'!$A$5:$A$16,0)),"")</x:f>
        <x:v>冷萃咖啡</x:v>
      </x:c>
      <x:c r="F34" s="182" t="str">
        <x:f>IFERROR(INDEX('商品主数据'!$C$5:$C$16,MATCH(D34,'商品主数据'!$A$5:$A$16,0)),"")</x:f>
        <x:v>咖啡</x:v>
      </x:c>
      <x:c r="G34" s="185" t="n">
        <x:f>IFERROR(INDEX('商品主数据'!$E$5:$E$16,MATCH(D34,'商品主数据'!$A$5:$A$16,0)),"")</x:f>
        <x:v>34</x:v>
      </x:c>
      <x:c r="H34" s="167" t="n">
        <x:v>4</x:v>
      </x:c>
      <x:c r="I34" s="167" t="n">
        <x:v>6</x:v>
      </x:c>
      <x:c r="J34" s="185" t="n">
        <x:f>ROUND(G34*I34,2)</x:f>
        <x:v>204</x:v>
      </x:c>
      <x:c r="K34" s="168" t="n">
        <x:v>6.12</x:v>
      </x:c>
      <x:c r="L34" s="185" t="n">
        <x:f>ROUND(J34-K34,2)</x:f>
        <x:v>197.88</x:v>
      </x:c>
      <x:c r="M34" s="185" t="n">
        <x:f>IFERROR(INDEX('商品主数据'!$F$5:$F$16,MATCH(D34,'商品主数据'!$A$5:$A$16,0)),"")</x:f>
        <x:v>9.5</x:v>
      </x:c>
      <x:c r="N34" s="185" t="n">
        <x:f>ROUND(M34*I34,2)</x:f>
        <x:v>57</x:v>
      </x:c>
      <x:c r="O34" s="185" t="n">
        <x:f>ROUND(L34-N34,2)</x:f>
        <x:v>140.88</x:v>
      </x:c>
      <x:c r="P34" s="166" t="str">
        <x:v>现金</x:v>
      </x:c>
      <x:c r="Q34" s="169" t="str"/>
    </x:row>
    <x:row r="35">
      <x:c r="A35" s="165" t="n">
        <x:v>46248</x:v>
      </x:c>
      <x:c r="B35" s="166" t="str">
        <x:v>S003</x:v>
      </x:c>
      <x:c r="C35" s="182" t="str">
        <x:f>IFERROR(INDEX('门店主数据'!$B$5:$B$8,MATCH(B35,'门店主数据'!$A$5:$A$8,0)),"")</x:f>
        <x:v>大学城店</x:v>
      </x:c>
      <x:c r="D35" s="166" t="str">
        <x:v>P007</x:v>
      </x:c>
      <x:c r="E35" s="182" t="str">
        <x:f>IFERROR(INDEX('商品主数据'!$B$5:$B$16,MATCH(D35,'商品主数据'!$A$5:$A$16,0)),"")</x:f>
        <x:v>抹茶拿铁</x:v>
      </x:c>
      <x:c r="F35" s="182" t="str">
        <x:f>IFERROR(INDEX('商品主数据'!$C$5:$C$16,MATCH(D35,'商品主数据'!$A$5:$A$16,0)),"")</x:f>
        <x:v>茶饮</x:v>
      </x:c>
      <x:c r="G35" s="185" t="n">
        <x:f>IFERROR(INDEX('商品主数据'!$E$5:$E$16,MATCH(D35,'商品主数据'!$A$5:$A$16,0)),"")</x:f>
        <x:v>34</x:v>
      </x:c>
      <x:c r="H35" s="167" t="n">
        <x:v>3</x:v>
      </x:c>
      <x:c r="I35" s="167" t="n">
        <x:v>5</x:v>
      </x:c>
      <x:c r="J35" s="185" t="n">
        <x:f>ROUND(G35*I35,2)</x:f>
        <x:v>170</x:v>
      </x:c>
      <x:c r="K35" s="168" t="n">
        <x:v>5.1</x:v>
      </x:c>
      <x:c r="L35" s="185" t="n">
        <x:f>ROUND(J35-K35,2)</x:f>
        <x:v>164.9</x:v>
      </x:c>
      <x:c r="M35" s="185" t="n">
        <x:f>IFERROR(INDEX('商品主数据'!$F$5:$F$16,MATCH(D35,'商品主数据'!$A$5:$A$16,0)),"")</x:f>
        <x:v>9</x:v>
      </x:c>
      <x:c r="N35" s="185" t="n">
        <x:f>ROUND(M35*I35,2)</x:f>
        <x:v>45</x:v>
      </x:c>
      <x:c r="O35" s="185" t="n">
        <x:f>ROUND(L35-N35,2)</x:f>
        <x:v>119.9</x:v>
      </x:c>
      <x:c r="P35" s="166" t="str">
        <x:v>微信支付</x:v>
      </x:c>
      <x:c r="Q35" s="169" t="str"/>
    </x:row>
    <x:row r="36">
      <x:c r="A36" s="165" t="n">
        <x:v>46248</x:v>
      </x:c>
      <x:c r="B36" s="166" t="str">
        <x:v>S003</x:v>
      </x:c>
      <x:c r="C36" s="182" t="str">
        <x:f>IFERROR(INDEX('门店主数据'!$B$5:$B$8,MATCH(B36,'门店主数据'!$A$5:$A$8,0)),"")</x:f>
        <x:v>大学城店</x:v>
      </x:c>
      <x:c r="D36" s="166" t="str">
        <x:v>P008</x:v>
      </x:c>
      <x:c r="E36" s="182" t="str">
        <x:f>IFERROR(INDEX('商品主数据'!$B$5:$B$16,MATCH(D36,'商品主数据'!$A$5:$A$16,0)),"")</x:f>
        <x:v>海盐芝士蛋糕</x:v>
      </x:c>
      <x:c r="F36" s="182" t="str">
        <x:f>IFERROR(INDEX('商品主数据'!$C$5:$C$16,MATCH(D36,'商品主数据'!$A$5:$A$16,0)),"")</x:f>
        <x:v>烘焙</x:v>
      </x:c>
      <x:c r="G36" s="185" t="n">
        <x:f>IFERROR(INDEX('商品主数据'!$E$5:$E$16,MATCH(D36,'商品主数据'!$A$5:$A$16,0)),"")</x:f>
        <x:v>38</x:v>
      </x:c>
      <x:c r="H36" s="167" t="n">
        <x:v>1</x:v>
      </x:c>
      <x:c r="I36" s="167" t="n">
        <x:v>2</x:v>
      </x:c>
      <x:c r="J36" s="185" t="n">
        <x:f>ROUND(G36*I36,2)</x:f>
        <x:v>76</x:v>
      </x:c>
      <x:c r="K36" s="168" t="n">
        <x:v>2.28</x:v>
      </x:c>
      <x:c r="L36" s="185" t="n">
        <x:f>ROUND(J36-K36,2)</x:f>
        <x:v>73.72</x:v>
      </x:c>
      <x:c r="M36" s="185" t="n">
        <x:f>IFERROR(INDEX('商品主数据'!$F$5:$F$16,MATCH(D36,'商品主数据'!$A$5:$A$16,0)),"")</x:f>
        <x:v>16</x:v>
      </x:c>
      <x:c r="N36" s="185" t="n">
        <x:f>ROUND(M36*I36,2)</x:f>
        <x:v>32</x:v>
      </x:c>
      <x:c r="O36" s="185" t="n">
        <x:f>ROUND(L36-N36,2)</x:f>
        <x:v>41.72</x:v>
      </x:c>
      <x:c r="P36" s="166" t="str">
        <x:v>支付宝</x:v>
      </x:c>
      <x:c r="Q36" s="169" t="str"/>
    </x:row>
    <x:row r="37">
      <x:c r="A37" s="165" t="n">
        <x:v>46248</x:v>
      </x:c>
      <x:c r="B37" s="166" t="str">
        <x:v>S003</x:v>
      </x:c>
      <x:c r="C37" s="182" t="str">
        <x:f>IFERROR(INDEX('门店主数据'!$B$5:$B$8,MATCH(B37,'门店主数据'!$A$5:$A$8,0)),"")</x:f>
        <x:v>大学城店</x:v>
      </x:c>
      <x:c r="D37" s="166" t="str">
        <x:v>P009</x:v>
      </x:c>
      <x:c r="E37" s="182" t="str">
        <x:f>IFERROR(INDEX('商品主数据'!$B$5:$B$16,MATCH(D37,'商品主数据'!$A$5:$A$16,0)),"")</x:f>
        <x:v>黄油可颂</x:v>
      </x:c>
      <x:c r="F37" s="182" t="str">
        <x:f>IFERROR(INDEX('商品主数据'!$C$5:$C$16,MATCH(D37,'商品主数据'!$A$5:$A$16,0)),"")</x:f>
        <x:v>烘焙</x:v>
      </x:c>
      <x:c r="G37" s="185" t="n">
        <x:f>IFERROR(INDEX('商品主数据'!$E$5:$E$16,MATCH(D37,'商品主数据'!$A$5:$A$16,0)),"")</x:f>
        <x:v>18</x:v>
      </x:c>
      <x:c r="H37" s="167" t="n">
        <x:v>6</x:v>
      </x:c>
      <x:c r="I37" s="167" t="n">
        <x:v>8</x:v>
      </x:c>
      <x:c r="J37" s="185" t="n">
        <x:f>ROUND(G37*I37,2)</x:f>
        <x:v>144</x:v>
      </x:c>
      <x:c r="K37" s="168" t="n">
        <x:v>11.52</x:v>
      </x:c>
      <x:c r="L37" s="185" t="n">
        <x:f>ROUND(J37-K37,2)</x:f>
        <x:v>132.48</x:v>
      </x:c>
      <x:c r="M37" s="185" t="n">
        <x:f>IFERROR(INDEX('商品主数据'!$F$5:$F$16,MATCH(D37,'商品主数据'!$A$5:$A$16,0)),"")</x:f>
        <x:v>6</x:v>
      </x:c>
      <x:c r="N37" s="185" t="n">
        <x:f>ROUND(M37*I37,2)</x:f>
        <x:v>48</x:v>
      </x:c>
      <x:c r="O37" s="185" t="n">
        <x:f>ROUND(L37-N37,2)</x:f>
        <x:v>84.48</x:v>
      </x:c>
      <x:c r="P37" s="166" t="str">
        <x:v>银行卡</x:v>
      </x:c>
      <x:c r="Q37" s="169" t="str"/>
    </x:row>
    <x:row r="38">
      <x:c r="A38" s="165" t="n">
        <x:v>46248</x:v>
      </x:c>
      <x:c r="B38" s="166" t="str">
        <x:v>S003</x:v>
      </x:c>
      <x:c r="C38" s="182" t="str">
        <x:f>IFERROR(INDEX('门店主数据'!$B$5:$B$8,MATCH(B38,'门店主数据'!$A$5:$A$8,0)),"")</x:f>
        <x:v>大学城店</x:v>
      </x:c>
      <x:c r="D38" s="166" t="str">
        <x:v>P010</x:v>
      </x:c>
      <x:c r="E38" s="182" t="str">
        <x:f>IFERROR(INDEX('商品主数据'!$B$5:$B$16,MATCH(D38,'商品主数据'!$A$5:$A$16,0)),"")</x:f>
        <x:v>蓝莓玛芬</x:v>
      </x:c>
      <x:c r="F38" s="182" t="str">
        <x:f>IFERROR(INDEX('商品主数据'!$C$5:$C$16,MATCH(D38,'商品主数据'!$A$5:$A$16,0)),"")</x:f>
        <x:v>烘焙</x:v>
      </x:c>
      <x:c r="G38" s="185" t="n">
        <x:f>IFERROR(INDEX('商品主数据'!$E$5:$E$16,MATCH(D38,'商品主数据'!$A$5:$A$16,0)),"")</x:f>
        <x:v>16</x:v>
      </x:c>
      <x:c r="H38" s="167" t="n">
        <x:v>4</x:v>
      </x:c>
      <x:c r="I38" s="167" t="n">
        <x:v>7</x:v>
      </x:c>
      <x:c r="J38" s="185" t="n">
        <x:f>ROUND(G38*I38,2)</x:f>
        <x:v>112</x:v>
      </x:c>
      <x:c r="K38" s="168" t="n">
        <x:v>3.36</x:v>
      </x:c>
      <x:c r="L38" s="185" t="n">
        <x:f>ROUND(J38-K38,2)</x:f>
        <x:v>108.64</x:v>
      </x:c>
      <x:c r="M38" s="185" t="n">
        <x:f>IFERROR(INDEX('商品主数据'!$F$5:$F$16,MATCH(D38,'商品主数据'!$A$5:$A$16,0)),"")</x:f>
        <x:v>5</x:v>
      </x:c>
      <x:c r="N38" s="185" t="n">
        <x:f>ROUND(M38*I38,2)</x:f>
        <x:v>35</x:v>
      </x:c>
      <x:c r="O38" s="185" t="n">
        <x:f>ROUND(L38-N38,2)</x:f>
        <x:v>73.64</x:v>
      </x:c>
      <x:c r="P38" s="166" t="str">
        <x:v>现金</x:v>
      </x:c>
      <x:c r="Q38" s="169" t="str"/>
    </x:row>
    <x:row r="39">
      <x:c r="A39" s="165" t="n">
        <x:v>46248</x:v>
      </x:c>
      <x:c r="B39" s="166" t="str">
        <x:v>S003</x:v>
      </x:c>
      <x:c r="C39" s="182" t="str">
        <x:f>IFERROR(INDEX('门店主数据'!$B$5:$B$8,MATCH(B39,'门店主数据'!$A$5:$A$8,0)),"")</x:f>
        <x:v>大学城店</x:v>
      </x:c>
      <x:c r="D39" s="166" t="str">
        <x:v>P011</x:v>
      </x:c>
      <x:c r="E39" s="182" t="str">
        <x:f>IFERROR(INDEX('商品主数据'!$B$5:$B$16,MATCH(D39,'商品主数据'!$A$5:$A$16,0)),"")</x:f>
        <x:v>火腿芝士三明治</x:v>
      </x:c>
      <x:c r="F39" s="182" t="str">
        <x:f>IFERROR(INDEX('商品主数据'!$C$5:$C$16,MATCH(D39,'商品主数据'!$A$5:$A$16,0)),"")</x:f>
        <x:v>轻食</x:v>
      </x:c>
      <x:c r="G39" s="185" t="n">
        <x:f>IFERROR(INDEX('商品主数据'!$E$5:$E$16,MATCH(D39,'商品主数据'!$A$5:$A$16,0)),"")</x:f>
        <x:v>32</x:v>
      </x:c>
      <x:c r="H39" s="167" t="n">
        <x:v>2</x:v>
      </x:c>
      <x:c r="I39" s="167" t="n">
        <x:v>3</x:v>
      </x:c>
      <x:c r="J39" s="185" t="n">
        <x:f>ROUND(G39*I39,2)</x:f>
        <x:v>96</x:v>
      </x:c>
      <x:c r="K39" s="168" t="n">
        <x:v>2.88</x:v>
      </x:c>
      <x:c r="L39" s="185" t="n">
        <x:f>ROUND(J39-K39,2)</x:f>
        <x:v>93.12</x:v>
      </x:c>
      <x:c r="M39" s="185" t="n">
        <x:f>IFERROR(INDEX('商品主数据'!$F$5:$F$16,MATCH(D39,'商品主数据'!$A$5:$A$16,0)),"")</x:f>
        <x:v>13</x:v>
      </x:c>
      <x:c r="N39" s="185" t="n">
        <x:f>ROUND(M39*I39,2)</x:f>
        <x:v>39</x:v>
      </x:c>
      <x:c r="O39" s="185" t="n">
        <x:f>ROUND(L39-N39,2)</x:f>
        <x:v>54.12</x:v>
      </x:c>
      <x:c r="P39" s="166" t="str">
        <x:v>微信支付</x:v>
      </x:c>
      <x:c r="Q39" s="169" t="str"/>
    </x:row>
    <x:row r="40">
      <x:c r="A40" s="165" t="n">
        <x:v>46248</x:v>
      </x:c>
      <x:c r="B40" s="166" t="str">
        <x:v>S003</x:v>
      </x:c>
      <x:c r="C40" s="182" t="str">
        <x:f>IFERROR(INDEX('门店主数据'!$B$5:$B$8,MATCH(B40,'门店主数据'!$A$5:$A$8,0)),"")</x:f>
        <x:v>大学城店</x:v>
      </x:c>
      <x:c r="D40" s="166" t="str">
        <x:v>P012</x:v>
      </x:c>
      <x:c r="E40" s="182" t="str">
        <x:f>IFERROR(INDEX('商品主数据'!$B$5:$B$16,MATCH(D40,'商品主数据'!$A$5:$A$16,0)),"")</x:f>
        <x:v>燕麦奶加料</x:v>
      </x:c>
      <x:c r="F40" s="182" t="str">
        <x:f>IFERROR(INDEX('商品主数据'!$C$5:$C$16,MATCH(D40,'商品主数据'!$A$5:$A$16,0)),"")</x:f>
        <x:v>加料</x:v>
      </x:c>
      <x:c r="G40" s="185" t="n">
        <x:f>IFERROR(INDEX('商品主数据'!$E$5:$E$16,MATCH(D40,'商品主数据'!$A$5:$A$16,0)),"")</x:f>
        <x:v>5</x:v>
      </x:c>
      <x:c r="H40" s="167" t="n">
        <x:v>1</x:v>
      </x:c>
      <x:c r="I40" s="167" t="n">
        <x:v>2</x:v>
      </x:c>
      <x:c r="J40" s="185" t="n">
        <x:f>ROUND(G40*I40,2)</x:f>
        <x:v>10</x:v>
      </x:c>
      <x:c r="K40" s="168" t="n">
        <x:v>0.3</x:v>
      </x:c>
      <x:c r="L40" s="185" t="n">
        <x:f>ROUND(J40-K40,2)</x:f>
        <x:v>9.7</x:v>
      </x:c>
      <x:c r="M40" s="185" t="n">
        <x:f>IFERROR(INDEX('商品主数据'!$F$5:$F$16,MATCH(D40,'商品主数据'!$A$5:$A$16,0)),"")</x:f>
        <x:v>1.8</x:v>
      </x:c>
      <x:c r="N40" s="185" t="n">
        <x:f>ROUND(M40*I40,2)</x:f>
        <x:v>3.6</x:v>
      </x:c>
      <x:c r="O40" s="185" t="n">
        <x:f>ROUND(L40-N40,2)</x:f>
        <x:v>6.1</x:v>
      </x:c>
      <x:c r="P40" s="166" t="str">
        <x:v>支付宝</x:v>
      </x:c>
      <x:c r="Q40" s="169" t="str"/>
    </x:row>
    <x:row r="41">
      <x:c r="A41" s="165" t="n">
        <x:v>46248</x:v>
      </x:c>
      <x:c r="B41" s="166" t="str">
        <x:v>S004</x:v>
      </x:c>
      <x:c r="C41" s="182" t="str">
        <x:f>IFERROR(INDEX('门店主数据'!$B$5:$B$8,MATCH(B41,'门店主数据'!$A$5:$A$8,0)),"")</x:f>
        <x:v>机场店</x:v>
      </x:c>
      <x:c r="D41" s="166" t="str">
        <x:v>P001</x:v>
      </x:c>
      <x:c r="E41" s="182" t="str">
        <x:f>IFERROR(INDEX('商品主数据'!$B$5:$B$16,MATCH(D41,'商品主数据'!$A$5:$A$16,0)),"")</x:f>
        <x:v>浓缩咖啡</x:v>
      </x:c>
      <x:c r="F41" s="182" t="str">
        <x:f>IFERROR(INDEX('商品主数据'!$C$5:$C$16,MATCH(D41,'商品主数据'!$A$5:$A$16,0)),"")</x:f>
        <x:v>咖啡</x:v>
      </x:c>
      <x:c r="G41" s="185" t="n">
        <x:f>IFERROR(INDEX('商品主数据'!$E$5:$E$16,MATCH(D41,'商品主数据'!$A$5:$A$16,0)),"")</x:f>
        <x:v>22</x:v>
      </x:c>
      <x:c r="H41" s="167" t="n">
        <x:v>7</x:v>
      </x:c>
      <x:c r="I41" s="167" t="n">
        <x:v>9</x:v>
      </x:c>
      <x:c r="J41" s="185" t="n">
        <x:f>ROUND(G41*I41,2)</x:f>
        <x:v>198</x:v>
      </x:c>
      <x:c r="K41" s="168" t="n">
        <x:v>5.94</x:v>
      </x:c>
      <x:c r="L41" s="185" t="n">
        <x:f>ROUND(J41-K41,2)</x:f>
        <x:v>192.06</x:v>
      </x:c>
      <x:c r="M41" s="185" t="n">
        <x:f>IFERROR(INDEX('商品主数据'!$F$5:$F$16,MATCH(D41,'商品主数据'!$A$5:$A$16,0)),"")</x:f>
        <x:v>5.5</x:v>
      </x:c>
      <x:c r="N41" s="185" t="n">
        <x:f>ROUND(M41*I41,2)</x:f>
        <x:v>49.5</x:v>
      </x:c>
      <x:c r="O41" s="185" t="n">
        <x:f>ROUND(L41-N41,2)</x:f>
        <x:v>142.56</x:v>
      </x:c>
      <x:c r="P41" s="166" t="str">
        <x:v>现金</x:v>
      </x:c>
      <x:c r="Q41" s="169" t="str"/>
    </x:row>
    <x:row r="42">
      <x:c r="A42" s="165" t="n">
        <x:v>46248</x:v>
      </x:c>
      <x:c r="B42" s="166" t="str">
        <x:v>S004</x:v>
      </x:c>
      <x:c r="C42" s="182" t="str">
        <x:f>IFERROR(INDEX('门店主数据'!$B$5:$B$8,MATCH(B42,'门店主数据'!$A$5:$A$8,0)),"")</x:f>
        <x:v>机场店</x:v>
      </x:c>
      <x:c r="D42" s="166" t="str">
        <x:v>P002</x:v>
      </x:c>
      <x:c r="E42" s="182" t="str">
        <x:f>IFERROR(INDEX('商品主数据'!$B$5:$B$16,MATCH(D42,'商品主数据'!$A$5:$A$16,0)),"")</x:f>
        <x:v>美式咖啡</x:v>
      </x:c>
      <x:c r="F42" s="182" t="str">
        <x:f>IFERROR(INDEX('商品主数据'!$C$5:$C$16,MATCH(D42,'商品主数据'!$A$5:$A$16,0)),"")</x:f>
        <x:v>咖啡</x:v>
      </x:c>
      <x:c r="G42" s="185" t="n">
        <x:f>IFERROR(INDEX('商品主数据'!$E$5:$E$16,MATCH(D42,'商品主数据'!$A$5:$A$16,0)),"")</x:f>
        <x:v>26</x:v>
      </x:c>
      <x:c r="H42" s="167" t="n">
        <x:v>17</x:v>
      </x:c>
      <x:c r="I42" s="167" t="n">
        <x:v>21</x:v>
      </x:c>
      <x:c r="J42" s="185" t="n">
        <x:f>ROUND(G42*I42,2)</x:f>
        <x:v>546</x:v>
      </x:c>
      <x:c r="K42" s="168" t="n">
        <x:v>16.38</x:v>
      </x:c>
      <x:c r="L42" s="185" t="n">
        <x:f>ROUND(J42-K42,2)</x:f>
        <x:v>529.62</x:v>
      </x:c>
      <x:c r="M42" s="185" t="n">
        <x:f>IFERROR(INDEX('商品主数据'!$F$5:$F$16,MATCH(D42,'商品主数据'!$A$5:$A$16,0)),"")</x:f>
        <x:v>6</x:v>
      </x:c>
      <x:c r="N42" s="185" t="n">
        <x:f>ROUND(M42*I42,2)</x:f>
        <x:v>126</x:v>
      </x:c>
      <x:c r="O42" s="185" t="n">
        <x:f>ROUND(L42-N42,2)</x:f>
        <x:v>403.62</x:v>
      </x:c>
      <x:c r="P42" s="166" t="str">
        <x:v>微信支付</x:v>
      </x:c>
      <x:c r="Q42" s="169" t="str"/>
    </x:row>
    <x:row r="43">
      <x:c r="A43" s="165" t="n">
        <x:v>46248</x:v>
      </x:c>
      <x:c r="B43" s="166" t="str">
        <x:v>S004</x:v>
      </x:c>
      <x:c r="C43" s="182" t="str">
        <x:f>IFERROR(INDEX('门店主数据'!$B$5:$B$8,MATCH(B43,'门店主数据'!$A$5:$A$8,0)),"")</x:f>
        <x:v>机场店</x:v>
      </x:c>
      <x:c r="D43" s="166" t="str">
        <x:v>P003</x:v>
      </x:c>
      <x:c r="E43" s="182" t="str">
        <x:f>IFERROR(INDEX('商品主数据'!$B$5:$B$16,MATCH(D43,'商品主数据'!$A$5:$A$16,0)),"")</x:f>
        <x:v>拿铁咖啡</x:v>
      </x:c>
      <x:c r="F43" s="182" t="str">
        <x:f>IFERROR(INDEX('商品主数据'!$C$5:$C$16,MATCH(D43,'商品主数据'!$A$5:$A$16,0)),"")</x:f>
        <x:v>咖啡</x:v>
      </x:c>
      <x:c r="G43" s="185" t="n">
        <x:f>IFERROR(INDEX('商品主数据'!$E$5:$E$16,MATCH(D43,'商品主数据'!$A$5:$A$16,0)),"")</x:f>
        <x:v>32</x:v>
      </x:c>
      <x:c r="H43" s="167" t="n">
        <x:v>14</x:v>
      </x:c>
      <x:c r="I43" s="167" t="n">
        <x:v>18</x:v>
      </x:c>
      <x:c r="J43" s="185" t="n">
        <x:f>ROUND(G43*I43,2)</x:f>
        <x:v>576</x:v>
      </x:c>
      <x:c r="K43" s="168" t="n">
        <x:v>46.08</x:v>
      </x:c>
      <x:c r="L43" s="185" t="n">
        <x:f>ROUND(J43-K43,2)</x:f>
        <x:v>529.92</x:v>
      </x:c>
      <x:c r="M43" s="185" t="n">
        <x:f>IFERROR(INDEX('商品主数据'!$F$5:$F$16,MATCH(D43,'商品主数据'!$A$5:$A$16,0)),"")</x:f>
        <x:v>8.5</x:v>
      </x:c>
      <x:c r="N43" s="185" t="n">
        <x:f>ROUND(M43*I43,2)</x:f>
        <x:v>153</x:v>
      </x:c>
      <x:c r="O43" s="185" t="n">
        <x:f>ROUND(L43-N43,2)</x:f>
        <x:v>376.92</x:v>
      </x:c>
      <x:c r="P43" s="166" t="str">
        <x:v>支付宝</x:v>
      </x:c>
      <x:c r="Q43" s="169" t="str"/>
    </x:row>
    <x:row r="44">
      <x:c r="A44" s="165" t="n">
        <x:v>46248</x:v>
      </x:c>
      <x:c r="B44" s="166" t="str">
        <x:v>S004</x:v>
      </x:c>
      <x:c r="C44" s="182" t="str">
        <x:f>IFERROR(INDEX('门店主数据'!$B$5:$B$8,MATCH(B44,'门店主数据'!$A$5:$A$8,0)),"")</x:f>
        <x:v>机场店</x:v>
      </x:c>
      <x:c r="D44" s="166" t="str">
        <x:v>P004</x:v>
      </x:c>
      <x:c r="E44" s="182" t="str">
        <x:f>IFERROR(INDEX('商品主数据'!$B$5:$B$16,MATCH(D44,'商品主数据'!$A$5:$A$16,0)),"")</x:f>
        <x:v>卡布奇诺</x:v>
      </x:c>
      <x:c r="F44" s="182" t="str">
        <x:f>IFERROR(INDEX('商品主数据'!$C$5:$C$16,MATCH(D44,'商品主数据'!$A$5:$A$16,0)),"")</x:f>
        <x:v>咖啡</x:v>
      </x:c>
      <x:c r="G44" s="185" t="n">
        <x:f>IFERROR(INDEX('商品主数据'!$E$5:$E$16,MATCH(D44,'商品主数据'!$A$5:$A$16,0)),"")</x:f>
        <x:v>32</x:v>
      </x:c>
      <x:c r="H44" s="167" t="n">
        <x:v>7</x:v>
      </x:c>
      <x:c r="I44" s="167" t="n">
        <x:v>10</x:v>
      </x:c>
      <x:c r="J44" s="185" t="n">
        <x:f>ROUND(G44*I44,2)</x:f>
        <x:v>320</x:v>
      </x:c>
      <x:c r="K44" s="168" t="n">
        <x:v>9.6</x:v>
      </x:c>
      <x:c r="L44" s="185" t="n">
        <x:f>ROUND(J44-K44,2)</x:f>
        <x:v>310.4</x:v>
      </x:c>
      <x:c r="M44" s="185" t="n">
        <x:f>IFERROR(INDEX('商品主数据'!$F$5:$F$16,MATCH(D44,'商品主数据'!$A$5:$A$16,0)),"")</x:f>
        <x:v>8.5</x:v>
      </x:c>
      <x:c r="N44" s="185" t="n">
        <x:f>ROUND(M44*I44,2)</x:f>
        <x:v>85</x:v>
      </x:c>
      <x:c r="O44" s="185" t="n">
        <x:f>ROUND(L44-N44,2)</x:f>
        <x:v>225.4</x:v>
      </x:c>
      <x:c r="P44" s="166" t="str">
        <x:v>银行卡</x:v>
      </x:c>
      <x:c r="Q44" s="169" t="str"/>
    </x:row>
    <x:row r="45">
      <x:c r="A45" s="165" t="n">
        <x:v>46248</x:v>
      </x:c>
      <x:c r="B45" s="166" t="str">
        <x:v>S004</x:v>
      </x:c>
      <x:c r="C45" s="182" t="str">
        <x:f>IFERROR(INDEX('门店主数据'!$B$5:$B$8,MATCH(B45,'门店主数据'!$A$5:$A$8,0)),"")</x:f>
        <x:v>机场店</x:v>
      </x:c>
      <x:c r="D45" s="166" t="str">
        <x:v>P005</x:v>
      </x:c>
      <x:c r="E45" s="182" t="str">
        <x:f>IFERROR(INDEX('商品主数据'!$B$5:$B$16,MATCH(D45,'商品主数据'!$A$5:$A$16,0)),"")</x:f>
        <x:v>摩卡咖啡</x:v>
      </x:c>
      <x:c r="F45" s="182" t="str">
        <x:f>IFERROR(INDEX('商品主数据'!$C$5:$C$16,MATCH(D45,'商品主数据'!$A$5:$A$16,0)),"")</x:f>
        <x:v>咖啡</x:v>
      </x:c>
      <x:c r="G45" s="185" t="n">
        <x:f>IFERROR(INDEX('商品主数据'!$E$5:$E$16,MATCH(D45,'商品主数据'!$A$5:$A$16,0)),"")</x:f>
        <x:v>36</x:v>
      </x:c>
      <x:c r="H45" s="167" t="n">
        <x:v>5</x:v>
      </x:c>
      <x:c r="I45" s="167" t="n">
        <x:v>7</x:v>
      </x:c>
      <x:c r="J45" s="185" t="n">
        <x:f>ROUND(G45*I45,2)</x:f>
        <x:v>252</x:v>
      </x:c>
      <x:c r="K45" s="168" t="n">
        <x:v>7.56</x:v>
      </x:c>
      <x:c r="L45" s="185" t="n">
        <x:f>ROUND(J45-K45,2)</x:f>
        <x:v>244.44</x:v>
      </x:c>
      <x:c r="M45" s="185" t="n">
        <x:f>IFERROR(INDEX('商品主数据'!$F$5:$F$16,MATCH(D45,'商品主数据'!$A$5:$A$16,0)),"")</x:f>
        <x:v>10</x:v>
      </x:c>
      <x:c r="N45" s="185" t="n">
        <x:f>ROUND(M45*I45,2)</x:f>
        <x:v>70</x:v>
      </x:c>
      <x:c r="O45" s="185" t="n">
        <x:f>ROUND(L45-N45,2)</x:f>
        <x:v>174.44</x:v>
      </x:c>
      <x:c r="P45" s="166" t="str">
        <x:v>现金</x:v>
      </x:c>
      <x:c r="Q45" s="169" t="str"/>
    </x:row>
    <x:row r="46">
      <x:c r="A46" s="165" t="n">
        <x:v>46248</x:v>
      </x:c>
      <x:c r="B46" s="166" t="str">
        <x:v>S004</x:v>
      </x:c>
      <x:c r="C46" s="182" t="str">
        <x:f>IFERROR(INDEX('门店主数据'!$B$5:$B$8,MATCH(B46,'门店主数据'!$A$5:$A$8,0)),"")</x:f>
        <x:v>机场店</x:v>
      </x:c>
      <x:c r="D46" s="166" t="str">
        <x:v>P006</x:v>
      </x:c>
      <x:c r="E46" s="182" t="str">
        <x:f>IFERROR(INDEX('商品主数据'!$B$5:$B$16,MATCH(D46,'商品主数据'!$A$5:$A$16,0)),"")</x:f>
        <x:v>冷萃咖啡</x:v>
      </x:c>
      <x:c r="F46" s="182" t="str">
        <x:f>IFERROR(INDEX('商品主数据'!$C$5:$C$16,MATCH(D46,'商品主数据'!$A$5:$A$16,0)),"")</x:f>
        <x:v>咖啡</x:v>
      </x:c>
      <x:c r="G46" s="185" t="n">
        <x:f>IFERROR(INDEX('商品主数据'!$E$5:$E$16,MATCH(D46,'商品主数据'!$A$5:$A$16,0)),"")</x:f>
        <x:v>34</x:v>
      </x:c>
      <x:c r="H46" s="167" t="n">
        <x:v>7</x:v>
      </x:c>
      <x:c r="I46" s="167" t="n">
        <x:v>9</x:v>
      </x:c>
      <x:c r="J46" s="185" t="n">
        <x:f>ROUND(G46*I46,2)</x:f>
        <x:v>306</x:v>
      </x:c>
      <x:c r="K46" s="168" t="n">
        <x:v>9.18</x:v>
      </x:c>
      <x:c r="L46" s="185" t="n">
        <x:f>ROUND(J46-K46,2)</x:f>
        <x:v>296.82</x:v>
      </x:c>
      <x:c r="M46" s="185" t="n">
        <x:f>IFERROR(INDEX('商品主数据'!$F$5:$F$16,MATCH(D46,'商品主数据'!$A$5:$A$16,0)),"")</x:f>
        <x:v>9.5</x:v>
      </x:c>
      <x:c r="N46" s="185" t="n">
        <x:f>ROUND(M46*I46,2)</x:f>
        <x:v>85.5</x:v>
      </x:c>
      <x:c r="O46" s="185" t="n">
        <x:f>ROUND(L46-N46,2)</x:f>
        <x:v>211.32</x:v>
      </x:c>
      <x:c r="P46" s="166" t="str">
        <x:v>微信支付</x:v>
      </x:c>
      <x:c r="Q46" s="169" t="str"/>
    </x:row>
    <x:row r="47">
      <x:c r="A47" s="165" t="n">
        <x:v>46248</x:v>
      </x:c>
      <x:c r="B47" s="166" t="str">
        <x:v>S004</x:v>
      </x:c>
      <x:c r="C47" s="182" t="str">
        <x:f>IFERROR(INDEX('门店主数据'!$B$5:$B$8,MATCH(B47,'门店主数据'!$A$5:$A$8,0)),"")</x:f>
        <x:v>机场店</x:v>
      </x:c>
      <x:c r="D47" s="166" t="str">
        <x:v>P007</x:v>
      </x:c>
      <x:c r="E47" s="182" t="str">
        <x:f>IFERROR(INDEX('商品主数据'!$B$5:$B$16,MATCH(D47,'商品主数据'!$A$5:$A$16,0)),"")</x:f>
        <x:v>抹茶拿铁</x:v>
      </x:c>
      <x:c r="F47" s="182" t="str">
        <x:f>IFERROR(INDEX('商品主数据'!$C$5:$C$16,MATCH(D47,'商品主数据'!$A$5:$A$16,0)),"")</x:f>
        <x:v>茶饮</x:v>
      </x:c>
      <x:c r="G47" s="185" t="n">
        <x:f>IFERROR(INDEX('商品主数据'!$E$5:$E$16,MATCH(D47,'商品主数据'!$A$5:$A$16,0)),"")</x:f>
        <x:v>34</x:v>
      </x:c>
      <x:c r="H47" s="167" t="n">
        <x:v>3</x:v>
      </x:c>
      <x:c r="I47" s="167" t="n">
        <x:v>5</x:v>
      </x:c>
      <x:c r="J47" s="185" t="n">
        <x:f>ROUND(G47*I47,2)</x:f>
        <x:v>170</x:v>
      </x:c>
      <x:c r="K47" s="168" t="n">
        <x:v>5.1</x:v>
      </x:c>
      <x:c r="L47" s="185" t="n">
        <x:f>ROUND(J47-K47,2)</x:f>
        <x:v>164.9</x:v>
      </x:c>
      <x:c r="M47" s="185" t="n">
        <x:f>IFERROR(INDEX('商品主数据'!$F$5:$F$16,MATCH(D47,'商品主数据'!$A$5:$A$16,0)),"")</x:f>
        <x:v>9</x:v>
      </x:c>
      <x:c r="N47" s="185" t="n">
        <x:f>ROUND(M47*I47,2)</x:f>
        <x:v>45</x:v>
      </x:c>
      <x:c r="O47" s="185" t="n">
        <x:f>ROUND(L47-N47,2)</x:f>
        <x:v>119.9</x:v>
      </x:c>
      <x:c r="P47" s="166" t="str">
        <x:v>支付宝</x:v>
      </x:c>
      <x:c r="Q47" s="169" t="str"/>
    </x:row>
    <x:row r="48">
      <x:c r="A48" s="165" t="n">
        <x:v>46248</x:v>
      </x:c>
      <x:c r="B48" s="166" t="str">
        <x:v>S004</x:v>
      </x:c>
      <x:c r="C48" s="182" t="str">
        <x:f>IFERROR(INDEX('门店主数据'!$B$5:$B$8,MATCH(B48,'门店主数据'!$A$5:$A$8,0)),"")</x:f>
        <x:v>机场店</x:v>
      </x:c>
      <x:c r="D48" s="166" t="str">
        <x:v>P008</x:v>
      </x:c>
      <x:c r="E48" s="182" t="str">
        <x:f>IFERROR(INDEX('商品主数据'!$B$5:$B$16,MATCH(D48,'商品主数据'!$A$5:$A$16,0)),"")</x:f>
        <x:v>海盐芝士蛋糕</x:v>
      </x:c>
      <x:c r="F48" s="182" t="str">
        <x:f>IFERROR(INDEX('商品主数据'!$C$5:$C$16,MATCH(D48,'商品主数据'!$A$5:$A$16,0)),"")</x:f>
        <x:v>烘焙</x:v>
      </x:c>
      <x:c r="G48" s="185" t="n">
        <x:f>IFERROR(INDEX('商品主数据'!$E$5:$E$16,MATCH(D48,'商品主数据'!$A$5:$A$16,0)),"")</x:f>
        <x:v>38</x:v>
      </x:c>
      <x:c r="H48" s="167" t="n">
        <x:v>2</x:v>
      </x:c>
      <x:c r="I48" s="167" t="n">
        <x:v>5</x:v>
      </x:c>
      <x:c r="J48" s="185" t="n">
        <x:f>ROUND(G48*I48,2)</x:f>
        <x:v>190</x:v>
      </x:c>
      <x:c r="K48" s="168" t="n">
        <x:v>15.2</x:v>
      </x:c>
      <x:c r="L48" s="185" t="n">
        <x:f>ROUND(J48-K48,2)</x:f>
        <x:v>174.8</x:v>
      </x:c>
      <x:c r="M48" s="185" t="n">
        <x:f>IFERROR(INDEX('商品主数据'!$F$5:$F$16,MATCH(D48,'商品主数据'!$A$5:$A$16,0)),"")</x:f>
        <x:v>16</x:v>
      </x:c>
      <x:c r="N48" s="185" t="n">
        <x:f>ROUND(M48*I48,2)</x:f>
        <x:v>80</x:v>
      </x:c>
      <x:c r="O48" s="185" t="n">
        <x:f>ROUND(L48-N48,2)</x:f>
        <x:v>94.8</x:v>
      </x:c>
      <x:c r="P48" s="166" t="str">
        <x:v>银行卡</x:v>
      </x:c>
      <x:c r="Q48" s="169" t="str"/>
    </x:row>
    <x:row r="49">
      <x:c r="A49" s="165" t="n">
        <x:v>46248</x:v>
      </x:c>
      <x:c r="B49" s="166" t="str">
        <x:v>S004</x:v>
      </x:c>
      <x:c r="C49" s="182" t="str">
        <x:f>IFERROR(INDEX('门店主数据'!$B$5:$B$8,MATCH(B49,'门店主数据'!$A$5:$A$8,0)),"")</x:f>
        <x:v>机场店</x:v>
      </x:c>
      <x:c r="D49" s="166" t="str">
        <x:v>P009</x:v>
      </x:c>
      <x:c r="E49" s="182" t="str">
        <x:f>IFERROR(INDEX('商品主数据'!$B$5:$B$16,MATCH(D49,'商品主数据'!$A$5:$A$16,0)),"")</x:f>
        <x:v>黄油可颂</x:v>
      </x:c>
      <x:c r="F49" s="182" t="str">
        <x:f>IFERROR(INDEX('商品主数据'!$C$5:$C$16,MATCH(D49,'商品主数据'!$A$5:$A$16,0)),"")</x:f>
        <x:v>烘焙</x:v>
      </x:c>
      <x:c r="G49" s="185" t="n">
        <x:f>IFERROR(INDEX('商品主数据'!$E$5:$E$16,MATCH(D49,'商品主数据'!$A$5:$A$16,0)),"")</x:f>
        <x:v>18</x:v>
      </x:c>
      <x:c r="H49" s="167" t="n">
        <x:v>9</x:v>
      </x:c>
      <x:c r="I49" s="167" t="n">
        <x:v>13</x:v>
      </x:c>
      <x:c r="J49" s="185" t="n">
        <x:f>ROUND(G49*I49,2)</x:f>
        <x:v>234</x:v>
      </x:c>
      <x:c r="K49" s="168" t="n">
        <x:v>7.02</x:v>
      </x:c>
      <x:c r="L49" s="185" t="n">
        <x:f>ROUND(J49-K49,2)</x:f>
        <x:v>226.98</x:v>
      </x:c>
      <x:c r="M49" s="185" t="n">
        <x:f>IFERROR(INDEX('商品主数据'!$F$5:$F$16,MATCH(D49,'商品主数据'!$A$5:$A$16,0)),"")</x:f>
        <x:v>6</x:v>
      </x:c>
      <x:c r="N49" s="185" t="n">
        <x:f>ROUND(M49*I49,2)</x:f>
        <x:v>78</x:v>
      </x:c>
      <x:c r="O49" s="185" t="n">
        <x:f>ROUND(L49-N49,2)</x:f>
        <x:v>148.98</x:v>
      </x:c>
      <x:c r="P49" s="166" t="str">
        <x:v>现金</x:v>
      </x:c>
      <x:c r="Q49" s="169" t="str"/>
    </x:row>
    <x:row r="50">
      <x:c r="A50" s="165" t="n">
        <x:v>46248</x:v>
      </x:c>
      <x:c r="B50" s="166" t="str">
        <x:v>S004</x:v>
      </x:c>
      <x:c r="C50" s="182" t="str">
        <x:f>IFERROR(INDEX('门店主数据'!$B$5:$B$8,MATCH(B50,'门店主数据'!$A$5:$A$8,0)),"")</x:f>
        <x:v>机场店</x:v>
      </x:c>
      <x:c r="D50" s="166" t="str">
        <x:v>P010</x:v>
      </x:c>
      <x:c r="E50" s="182" t="str">
        <x:f>IFERROR(INDEX('商品主数据'!$B$5:$B$16,MATCH(D50,'商品主数据'!$A$5:$A$16,0)),"")</x:f>
        <x:v>蓝莓玛芬</x:v>
      </x:c>
      <x:c r="F50" s="182" t="str">
        <x:f>IFERROR(INDEX('商品主数据'!$C$5:$C$16,MATCH(D50,'商品主数据'!$A$5:$A$16,0)),"")</x:f>
        <x:v>烘焙</x:v>
      </x:c>
      <x:c r="G50" s="185" t="n">
        <x:f>IFERROR(INDEX('商品主数据'!$E$5:$E$16,MATCH(D50,'商品主数据'!$A$5:$A$16,0)),"")</x:f>
        <x:v>16</x:v>
      </x:c>
      <x:c r="H50" s="167" t="n">
        <x:v>4</x:v>
      </x:c>
      <x:c r="I50" s="167" t="n">
        <x:v>7</x:v>
      </x:c>
      <x:c r="J50" s="185" t="n">
        <x:f>ROUND(G50*I50,2)</x:f>
        <x:v>112</x:v>
      </x:c>
      <x:c r="K50" s="168" t="n">
        <x:v>3.36</x:v>
      </x:c>
      <x:c r="L50" s="185" t="n">
        <x:f>ROUND(J50-K50,2)</x:f>
        <x:v>108.64</x:v>
      </x:c>
      <x:c r="M50" s="185" t="n">
        <x:f>IFERROR(INDEX('商品主数据'!$F$5:$F$16,MATCH(D50,'商品主数据'!$A$5:$A$16,0)),"")</x:f>
        <x:v>5</x:v>
      </x:c>
      <x:c r="N50" s="185" t="n">
        <x:f>ROUND(M50*I50,2)</x:f>
        <x:v>35</x:v>
      </x:c>
      <x:c r="O50" s="185" t="n">
        <x:f>ROUND(L50-N50,2)</x:f>
        <x:v>73.64</x:v>
      </x:c>
      <x:c r="P50" s="166" t="str">
        <x:v>微信支付</x:v>
      </x:c>
      <x:c r="Q50" s="169" t="str"/>
    </x:row>
    <x:row r="51">
      <x:c r="A51" s="165" t="n">
        <x:v>46248</x:v>
      </x:c>
      <x:c r="B51" s="166" t="str">
        <x:v>S004</x:v>
      </x:c>
      <x:c r="C51" s="182" t="str">
        <x:f>IFERROR(INDEX('门店主数据'!$B$5:$B$8,MATCH(B51,'门店主数据'!$A$5:$A$8,0)),"")</x:f>
        <x:v>机场店</x:v>
      </x:c>
      <x:c r="D51" s="166" t="str">
        <x:v>P011</x:v>
      </x:c>
      <x:c r="E51" s="182" t="str">
        <x:f>IFERROR(INDEX('商品主数据'!$B$5:$B$16,MATCH(D51,'商品主数据'!$A$5:$A$16,0)),"")</x:f>
        <x:v>火腿芝士三明治</x:v>
      </x:c>
      <x:c r="F51" s="182" t="str">
        <x:f>IFERROR(INDEX('商品主数据'!$C$5:$C$16,MATCH(D51,'商品主数据'!$A$5:$A$16,0)),"")</x:f>
        <x:v>轻食</x:v>
      </x:c>
      <x:c r="G51" s="185" t="n">
        <x:f>IFERROR(INDEX('商品主数据'!$E$5:$E$16,MATCH(D51,'商品主数据'!$A$5:$A$16,0)),"")</x:f>
        <x:v>32</x:v>
      </x:c>
      <x:c r="H51" s="167" t="n">
        <x:v>3</x:v>
      </x:c>
      <x:c r="I51" s="167" t="n">
        <x:v>6</x:v>
      </x:c>
      <x:c r="J51" s="185" t="n">
        <x:f>ROUND(G51*I51,2)</x:f>
        <x:v>192</x:v>
      </x:c>
      <x:c r="K51" s="168" t="n">
        <x:v>5.76</x:v>
      </x:c>
      <x:c r="L51" s="185" t="n">
        <x:f>ROUND(J51-K51,2)</x:f>
        <x:v>186.24</x:v>
      </x:c>
      <x:c r="M51" s="185" t="n">
        <x:f>IFERROR(INDEX('商品主数据'!$F$5:$F$16,MATCH(D51,'商品主数据'!$A$5:$A$16,0)),"")</x:f>
        <x:v>13</x:v>
      </x:c>
      <x:c r="N51" s="185" t="n">
        <x:f>ROUND(M51*I51,2)</x:f>
        <x:v>78</x:v>
      </x:c>
      <x:c r="O51" s="185" t="n">
        <x:f>ROUND(L51-N51,2)</x:f>
        <x:v>108.24</x:v>
      </x:c>
      <x:c r="P51" s="166" t="str">
        <x:v>支付宝</x:v>
      </x:c>
      <x:c r="Q51" s="169" t="str"/>
    </x:row>
    <x:row r="52">
      <x:c r="A52" s="165" t="n">
        <x:v>46248</x:v>
      </x:c>
      <x:c r="B52" s="166" t="str">
        <x:v>S004</x:v>
      </x:c>
      <x:c r="C52" s="182" t="str">
        <x:f>IFERROR(INDEX('门店主数据'!$B$5:$B$8,MATCH(B52,'门店主数据'!$A$5:$A$8,0)),"")</x:f>
        <x:v>机场店</x:v>
      </x:c>
      <x:c r="D52" s="166" t="str">
        <x:v>P012</x:v>
      </x:c>
      <x:c r="E52" s="182" t="str">
        <x:f>IFERROR(INDEX('商品主数据'!$B$5:$B$16,MATCH(D52,'商品主数据'!$A$5:$A$16,0)),"")</x:f>
        <x:v>燕麦奶加料</x:v>
      </x:c>
      <x:c r="F52" s="182" t="str">
        <x:f>IFERROR(INDEX('商品主数据'!$C$5:$C$16,MATCH(D52,'商品主数据'!$A$5:$A$16,0)),"")</x:f>
        <x:v>加料</x:v>
      </x:c>
      <x:c r="G52" s="185" t="n">
        <x:f>IFERROR(INDEX('商品主数据'!$E$5:$E$16,MATCH(D52,'商品主数据'!$A$5:$A$16,0)),"")</x:f>
        <x:v>5</x:v>
      </x:c>
      <x:c r="H52" s="167" t="n">
        <x:v>2</x:v>
      </x:c>
      <x:c r="I52" s="167" t="n">
        <x:v>5</x:v>
      </x:c>
      <x:c r="J52" s="185" t="n">
        <x:f>ROUND(G52*I52,2)</x:f>
        <x:v>25</x:v>
      </x:c>
      <x:c r="K52" s="168" t="n">
        <x:v>0.75</x:v>
      </x:c>
      <x:c r="L52" s="185" t="n">
        <x:f>ROUND(J52-K52,2)</x:f>
        <x:v>24.25</x:v>
      </x:c>
      <x:c r="M52" s="185" t="n">
        <x:f>IFERROR(INDEX('商品主数据'!$F$5:$F$16,MATCH(D52,'商品主数据'!$A$5:$A$16,0)),"")</x:f>
        <x:v>1.8</x:v>
      </x:c>
      <x:c r="N52" s="185" t="n">
        <x:f>ROUND(M52*I52,2)</x:f>
        <x:v>9</x:v>
      </x:c>
      <x:c r="O52" s="185" t="n">
        <x:f>ROUND(L52-N52,2)</x:f>
        <x:v>15.25</x:v>
      </x:c>
      <x:c r="P52" s="166" t="str">
        <x:v>银行卡</x:v>
      </x:c>
      <x:c r="Q52" s="169" t="str"/>
    </x:row>
    <x:row r="53">
      <x:c r="A53" s="165" t="n">
        <x:v>46249</x:v>
      </x:c>
      <x:c r="B53" s="166" t="str">
        <x:v>S001</x:v>
      </x:c>
      <x:c r="C53" s="182" t="str">
        <x:f>IFERROR(INDEX('门店主数据'!$B$5:$B$8,MATCH(B53,'门店主数据'!$A$5:$A$8,0)),"")</x:f>
        <x:v>人民广场店</x:v>
      </x:c>
      <x:c r="D53" s="166" t="str">
        <x:v>P001</x:v>
      </x:c>
      <x:c r="E53" s="182" t="str">
        <x:f>IFERROR(INDEX('商品主数据'!$B$5:$B$16,MATCH(D53,'商品主数据'!$A$5:$A$16,0)),"")</x:f>
        <x:v>浓缩咖啡</x:v>
      </x:c>
      <x:c r="F53" s="182" t="str">
        <x:f>IFERROR(INDEX('商品主数据'!$C$5:$C$16,MATCH(D53,'商品主数据'!$A$5:$A$16,0)),"")</x:f>
        <x:v>咖啡</x:v>
      </x:c>
      <x:c r="G53" s="185" t="n">
        <x:f>IFERROR(INDEX('商品主数据'!$E$5:$E$16,MATCH(D53,'商品主数据'!$A$5:$A$16,0)),"")</x:f>
        <x:v>22</x:v>
      </x:c>
      <x:c r="H53" s="167" t="n">
        <x:v>7</x:v>
      </x:c>
      <x:c r="I53" s="167" t="n">
        <x:v>9</x:v>
      </x:c>
      <x:c r="J53" s="185" t="n">
        <x:f>ROUND(G53*I53,2)</x:f>
        <x:v>198</x:v>
      </x:c>
      <x:c r="K53" s="168" t="n">
        <x:v>5.94</x:v>
      </x:c>
      <x:c r="L53" s="185" t="n">
        <x:f>ROUND(J53-K53,2)</x:f>
        <x:v>192.06</x:v>
      </x:c>
      <x:c r="M53" s="185" t="n">
        <x:f>IFERROR(INDEX('商品主数据'!$F$5:$F$16,MATCH(D53,'商品主数据'!$A$5:$A$16,0)),"")</x:f>
        <x:v>5.5</x:v>
      </x:c>
      <x:c r="N53" s="185" t="n">
        <x:f>ROUND(M53*I53,2)</x:f>
        <x:v>49.5</x:v>
      </x:c>
      <x:c r="O53" s="185" t="n">
        <x:f>ROUND(L53-N53,2)</x:f>
        <x:v>142.56</x:v>
      </x:c>
      <x:c r="P53" s="166" t="str">
        <x:v>支付宝</x:v>
      </x:c>
      <x:c r="Q53" s="169" t="str"/>
    </x:row>
    <x:row r="54">
      <x:c r="A54" s="165" t="n">
        <x:v>46249</x:v>
      </x:c>
      <x:c r="B54" s="166" t="str">
        <x:v>S001</x:v>
      </x:c>
      <x:c r="C54" s="182" t="str">
        <x:f>IFERROR(INDEX('门店主数据'!$B$5:$B$8,MATCH(B54,'门店主数据'!$A$5:$A$8,0)),"")</x:f>
        <x:v>人民广场店</x:v>
      </x:c>
      <x:c r="D54" s="166" t="str">
        <x:v>P002</x:v>
      </x:c>
      <x:c r="E54" s="182" t="str">
        <x:f>IFERROR(INDEX('商品主数据'!$B$5:$B$16,MATCH(D54,'商品主数据'!$A$5:$A$16,0)),"")</x:f>
        <x:v>美式咖啡</x:v>
      </x:c>
      <x:c r="F54" s="182" t="str">
        <x:f>IFERROR(INDEX('商品主数据'!$C$5:$C$16,MATCH(D54,'商品主数据'!$A$5:$A$16,0)),"")</x:f>
        <x:v>咖啡</x:v>
      </x:c>
      <x:c r="G54" s="185" t="n">
        <x:f>IFERROR(INDEX('商品主数据'!$E$5:$E$16,MATCH(D54,'商品主数据'!$A$5:$A$16,0)),"")</x:f>
        <x:v>26</x:v>
      </x:c>
      <x:c r="H54" s="167" t="n">
        <x:v>18</x:v>
      </x:c>
      <x:c r="I54" s="167" t="n">
        <x:v>22</x:v>
      </x:c>
      <x:c r="J54" s="185" t="n">
        <x:f>ROUND(G54*I54,2)</x:f>
        <x:v>572</x:v>
      </x:c>
      <x:c r="K54" s="168" t="n">
        <x:v>17.16</x:v>
      </x:c>
      <x:c r="L54" s="185" t="n">
        <x:f>ROUND(J54-K54,2)</x:f>
        <x:v>554.84</x:v>
      </x:c>
      <x:c r="M54" s="185" t="n">
        <x:f>IFERROR(INDEX('商品主数据'!$F$5:$F$16,MATCH(D54,'商品主数据'!$A$5:$A$16,0)),"")</x:f>
        <x:v>6</x:v>
      </x:c>
      <x:c r="N54" s="185" t="n">
        <x:f>ROUND(M54*I54,2)</x:f>
        <x:v>132</x:v>
      </x:c>
      <x:c r="O54" s="185" t="n">
        <x:f>ROUND(L54-N54,2)</x:f>
        <x:v>422.84</x:v>
      </x:c>
      <x:c r="P54" s="166" t="str">
        <x:v>银行卡</x:v>
      </x:c>
      <x:c r="Q54" s="169" t="str"/>
    </x:row>
    <x:row r="55">
      <x:c r="A55" s="165" t="n">
        <x:v>46249</x:v>
      </x:c>
      <x:c r="B55" s="166" t="str">
        <x:v>S001</x:v>
      </x:c>
      <x:c r="C55" s="182" t="str">
        <x:f>IFERROR(INDEX('门店主数据'!$B$5:$B$8,MATCH(B55,'门店主数据'!$A$5:$A$8,0)),"")</x:f>
        <x:v>人民广场店</x:v>
      </x:c>
      <x:c r="D55" s="166" t="str">
        <x:v>P003</x:v>
      </x:c>
      <x:c r="E55" s="182" t="str">
        <x:f>IFERROR(INDEX('商品主数据'!$B$5:$B$16,MATCH(D55,'商品主数据'!$A$5:$A$16,0)),"")</x:f>
        <x:v>拿铁咖啡</x:v>
      </x:c>
      <x:c r="F55" s="182" t="str">
        <x:f>IFERROR(INDEX('商品主数据'!$C$5:$C$16,MATCH(D55,'商品主数据'!$A$5:$A$16,0)),"")</x:f>
        <x:v>咖啡</x:v>
      </x:c>
      <x:c r="G55" s="185" t="n">
        <x:f>IFERROR(INDEX('商品主数据'!$E$5:$E$16,MATCH(D55,'商品主数据'!$A$5:$A$16,0)),"")</x:f>
        <x:v>32</x:v>
      </x:c>
      <x:c r="H55" s="167" t="n">
        <x:v>11</x:v>
      </x:c>
      <x:c r="I55" s="167" t="n">
        <x:v>15</x:v>
      </x:c>
      <x:c r="J55" s="185" t="n">
        <x:f>ROUND(G55*I55,2)</x:f>
        <x:v>480</x:v>
      </x:c>
      <x:c r="K55" s="168" t="n">
        <x:v>14.4</x:v>
      </x:c>
      <x:c r="L55" s="185" t="n">
        <x:f>ROUND(J55-K55,2)</x:f>
        <x:v>465.6</x:v>
      </x:c>
      <x:c r="M55" s="185" t="n">
        <x:f>IFERROR(INDEX('商品主数据'!$F$5:$F$16,MATCH(D55,'商品主数据'!$A$5:$A$16,0)),"")</x:f>
        <x:v>8.5</x:v>
      </x:c>
      <x:c r="N55" s="185" t="n">
        <x:f>ROUND(M55*I55,2)</x:f>
        <x:v>127.5</x:v>
      </x:c>
      <x:c r="O55" s="185" t="n">
        <x:f>ROUND(L55-N55,2)</x:f>
        <x:v>338.1</x:v>
      </x:c>
      <x:c r="P55" s="166" t="str">
        <x:v>现金</x:v>
      </x:c>
      <x:c r="Q55" s="169" t="str"/>
    </x:row>
    <x:row r="56">
      <x:c r="A56" s="165" t="n">
        <x:v>46249</x:v>
      </x:c>
      <x:c r="B56" s="166" t="str">
        <x:v>S001</x:v>
      </x:c>
      <x:c r="C56" s="182" t="str">
        <x:f>IFERROR(INDEX('门店主数据'!$B$5:$B$8,MATCH(B56,'门店主数据'!$A$5:$A$8,0)),"")</x:f>
        <x:v>人民广场店</x:v>
      </x:c>
      <x:c r="D56" s="166" t="str">
        <x:v>P004</x:v>
      </x:c>
      <x:c r="E56" s="182" t="str">
        <x:f>IFERROR(INDEX('商品主数据'!$B$5:$B$16,MATCH(D56,'商品主数据'!$A$5:$A$16,0)),"")</x:f>
        <x:v>卡布奇诺</x:v>
      </x:c>
      <x:c r="F56" s="182" t="str">
        <x:f>IFERROR(INDEX('商品主数据'!$C$5:$C$16,MATCH(D56,'商品主数据'!$A$5:$A$16,0)),"")</x:f>
        <x:v>咖啡</x:v>
      </x:c>
      <x:c r="G56" s="185" t="n">
        <x:f>IFERROR(INDEX('商品主数据'!$E$5:$E$16,MATCH(D56,'商品主数据'!$A$5:$A$16,0)),"")</x:f>
        <x:v>32</x:v>
      </x:c>
      <x:c r="H56" s="167" t="n">
        <x:v>7</x:v>
      </x:c>
      <x:c r="I56" s="167" t="n">
        <x:v>10</x:v>
      </x:c>
      <x:c r="J56" s="185" t="n">
        <x:f>ROUND(G56*I56,2)</x:f>
        <x:v>320</x:v>
      </x:c>
      <x:c r="K56" s="168" t="n">
        <x:v>9.6</x:v>
      </x:c>
      <x:c r="L56" s="185" t="n">
        <x:f>ROUND(J56-K56,2)</x:f>
        <x:v>310.4</x:v>
      </x:c>
      <x:c r="M56" s="185" t="n">
        <x:f>IFERROR(INDEX('商品主数据'!$F$5:$F$16,MATCH(D56,'商品主数据'!$A$5:$A$16,0)),"")</x:f>
        <x:v>8.5</x:v>
      </x:c>
      <x:c r="N56" s="185" t="n">
        <x:f>ROUND(M56*I56,2)</x:f>
        <x:v>85</x:v>
      </x:c>
      <x:c r="O56" s="185" t="n">
        <x:f>ROUND(L56-N56,2)</x:f>
        <x:v>225.4</x:v>
      </x:c>
      <x:c r="P56" s="166" t="str">
        <x:v>微信支付</x:v>
      </x:c>
      <x:c r="Q56" s="169" t="str"/>
    </x:row>
    <x:row r="57">
      <x:c r="A57" s="165" t="n">
        <x:v>46249</x:v>
      </x:c>
      <x:c r="B57" s="166" t="str">
        <x:v>S001</x:v>
      </x:c>
      <x:c r="C57" s="182" t="str">
        <x:f>IFERROR(INDEX('门店主数据'!$B$5:$B$8,MATCH(B57,'门店主数据'!$A$5:$A$8,0)),"")</x:f>
        <x:v>人民广场店</x:v>
      </x:c>
      <x:c r="D57" s="166" t="str">
        <x:v>P005</x:v>
      </x:c>
      <x:c r="E57" s="182" t="str">
        <x:f>IFERROR(INDEX('商品主数据'!$B$5:$B$16,MATCH(D57,'商品主数据'!$A$5:$A$16,0)),"")</x:f>
        <x:v>摩卡咖啡</x:v>
      </x:c>
      <x:c r="F57" s="182" t="str">
        <x:f>IFERROR(INDEX('商品主数据'!$C$5:$C$16,MATCH(D57,'商品主数据'!$A$5:$A$16,0)),"")</x:f>
        <x:v>咖啡</x:v>
      </x:c>
      <x:c r="G57" s="185" t="n">
        <x:f>IFERROR(INDEX('商品主数据'!$E$5:$E$16,MATCH(D57,'商品主数据'!$A$5:$A$16,0)),"")</x:f>
        <x:v>36</x:v>
      </x:c>
      <x:c r="H57" s="167" t="n">
        <x:v>5</x:v>
      </x:c>
      <x:c r="I57" s="167" t="n">
        <x:v>8</x:v>
      </x:c>
      <x:c r="J57" s="185" t="n">
        <x:f>ROUND(G57*I57,2)</x:f>
        <x:v>288</x:v>
      </x:c>
      <x:c r="K57" s="168" t="n">
        <x:v>23.04</x:v>
      </x:c>
      <x:c r="L57" s="185" t="n">
        <x:f>ROUND(J57-K57,2)</x:f>
        <x:v>264.96</x:v>
      </x:c>
      <x:c r="M57" s="185" t="n">
        <x:f>IFERROR(INDEX('商品主数据'!$F$5:$F$16,MATCH(D57,'商品主数据'!$A$5:$A$16,0)),"")</x:f>
        <x:v>10</x:v>
      </x:c>
      <x:c r="N57" s="185" t="n">
        <x:f>ROUND(M57*I57,2)</x:f>
        <x:v>80</x:v>
      </x:c>
      <x:c r="O57" s="185" t="n">
        <x:f>ROUND(L57-N57,2)</x:f>
        <x:v>184.96</x:v>
      </x:c>
      <x:c r="P57" s="166" t="str">
        <x:v>支付宝</x:v>
      </x:c>
      <x:c r="Q57" s="169" t="str"/>
    </x:row>
    <x:row r="58">
      <x:c r="A58" s="165" t="n">
        <x:v>46249</x:v>
      </x:c>
      <x:c r="B58" s="166" t="str">
        <x:v>S001</x:v>
      </x:c>
      <x:c r="C58" s="182" t="str">
        <x:f>IFERROR(INDEX('门店主数据'!$B$5:$B$8,MATCH(B58,'门店主数据'!$A$5:$A$8,0)),"")</x:f>
        <x:v>人民广场店</x:v>
      </x:c>
      <x:c r="D58" s="166" t="str">
        <x:v>P006</x:v>
      </x:c>
      <x:c r="E58" s="182" t="str">
        <x:f>IFERROR(INDEX('商品主数据'!$B$5:$B$16,MATCH(D58,'商品主数据'!$A$5:$A$16,0)),"")</x:f>
        <x:v>冷萃咖啡</x:v>
      </x:c>
      <x:c r="F58" s="182" t="str">
        <x:f>IFERROR(INDEX('商品主数据'!$C$5:$C$16,MATCH(D58,'商品主数据'!$A$5:$A$16,0)),"")</x:f>
        <x:v>咖啡</x:v>
      </x:c>
      <x:c r="G58" s="185" t="n">
        <x:f>IFERROR(INDEX('商品主数据'!$E$5:$E$16,MATCH(D58,'商品主数据'!$A$5:$A$16,0)),"")</x:f>
        <x:v>34</x:v>
      </x:c>
      <x:c r="H58" s="167" t="n">
        <x:v>5</x:v>
      </x:c>
      <x:c r="I58" s="167" t="n">
        <x:v>7</x:v>
      </x:c>
      <x:c r="J58" s="185" t="n">
        <x:f>ROUND(G58*I58,2)</x:f>
        <x:v>238</x:v>
      </x:c>
      <x:c r="K58" s="168" t="n">
        <x:v>7.14</x:v>
      </x:c>
      <x:c r="L58" s="185" t="n">
        <x:f>ROUND(J58-K58,2)</x:f>
        <x:v>230.86</x:v>
      </x:c>
      <x:c r="M58" s="185" t="n">
        <x:f>IFERROR(INDEX('商品主数据'!$F$5:$F$16,MATCH(D58,'商品主数据'!$A$5:$A$16,0)),"")</x:f>
        <x:v>9.5</x:v>
      </x:c>
      <x:c r="N58" s="185" t="n">
        <x:f>ROUND(M58*I58,2)</x:f>
        <x:v>66.5</x:v>
      </x:c>
      <x:c r="O58" s="185" t="n">
        <x:f>ROUND(L58-N58,2)</x:f>
        <x:v>164.36</x:v>
      </x:c>
      <x:c r="P58" s="166" t="str">
        <x:v>银行卡</x:v>
      </x:c>
      <x:c r="Q58" s="169" t="str"/>
    </x:row>
    <x:row r="59">
      <x:c r="A59" s="165" t="n">
        <x:v>46249</x:v>
      </x:c>
      <x:c r="B59" s="166" t="str">
        <x:v>S001</x:v>
      </x:c>
      <x:c r="C59" s="182" t="str">
        <x:f>IFERROR(INDEX('门店主数据'!$B$5:$B$8,MATCH(B59,'门店主数据'!$A$5:$A$8,0)),"")</x:f>
        <x:v>人民广场店</x:v>
      </x:c>
      <x:c r="D59" s="166" t="str">
        <x:v>P007</x:v>
      </x:c>
      <x:c r="E59" s="182" t="str">
        <x:f>IFERROR(INDEX('商品主数据'!$B$5:$B$16,MATCH(D59,'商品主数据'!$A$5:$A$16,0)),"")</x:f>
        <x:v>抹茶拿铁</x:v>
      </x:c>
      <x:c r="F59" s="182" t="str">
        <x:f>IFERROR(INDEX('商品主数据'!$C$5:$C$16,MATCH(D59,'商品主数据'!$A$5:$A$16,0)),"")</x:f>
        <x:v>茶饮</x:v>
      </x:c>
      <x:c r="G59" s="185" t="n">
        <x:f>IFERROR(INDEX('商品主数据'!$E$5:$E$16,MATCH(D59,'商品主数据'!$A$5:$A$16,0)),"")</x:f>
        <x:v>34</x:v>
      </x:c>
      <x:c r="H59" s="167" t="n">
        <x:v>4</x:v>
      </x:c>
      <x:c r="I59" s="167" t="n">
        <x:v>6</x:v>
      </x:c>
      <x:c r="J59" s="185" t="n">
        <x:f>ROUND(G59*I59,2)</x:f>
        <x:v>204</x:v>
      </x:c>
      <x:c r="K59" s="168" t="n">
        <x:v>6.12</x:v>
      </x:c>
      <x:c r="L59" s="185" t="n">
        <x:f>ROUND(J59-K59,2)</x:f>
        <x:v>197.88</x:v>
      </x:c>
      <x:c r="M59" s="185" t="n">
        <x:f>IFERROR(INDEX('商品主数据'!$F$5:$F$16,MATCH(D59,'商品主数据'!$A$5:$A$16,0)),"")</x:f>
        <x:v>9</x:v>
      </x:c>
      <x:c r="N59" s="185" t="n">
        <x:f>ROUND(M59*I59,2)</x:f>
        <x:v>54</x:v>
      </x:c>
      <x:c r="O59" s="185" t="n">
        <x:f>ROUND(L59-N59,2)</x:f>
        <x:v>143.88</x:v>
      </x:c>
      <x:c r="P59" s="166" t="str">
        <x:v>现金</x:v>
      </x:c>
      <x:c r="Q59" s="169" t="str"/>
    </x:row>
    <x:row r="60">
      <x:c r="A60" s="165" t="n">
        <x:v>46249</x:v>
      </x:c>
      <x:c r="B60" s="166" t="str">
        <x:v>S001</x:v>
      </x:c>
      <x:c r="C60" s="182" t="str">
        <x:f>IFERROR(INDEX('门店主数据'!$B$5:$B$8,MATCH(B60,'门店主数据'!$A$5:$A$8,0)),"")</x:f>
        <x:v>人民广场店</x:v>
      </x:c>
      <x:c r="D60" s="166" t="str">
        <x:v>P008</x:v>
      </x:c>
      <x:c r="E60" s="182" t="str">
        <x:f>IFERROR(INDEX('商品主数据'!$B$5:$B$16,MATCH(D60,'商品主数据'!$A$5:$A$16,0)),"")</x:f>
        <x:v>海盐芝士蛋糕</x:v>
      </x:c>
      <x:c r="F60" s="182" t="str">
        <x:f>IFERROR(INDEX('商品主数据'!$C$5:$C$16,MATCH(D60,'商品主数据'!$A$5:$A$16,0)),"")</x:f>
        <x:v>烘焙</x:v>
      </x:c>
      <x:c r="G60" s="185" t="n">
        <x:f>IFERROR(INDEX('商品主数据'!$E$5:$E$16,MATCH(D60,'商品主数据'!$A$5:$A$16,0)),"")</x:f>
        <x:v>38</x:v>
      </x:c>
      <x:c r="H60" s="167" t="n">
        <x:v>3</x:v>
      </x:c>
      <x:c r="I60" s="167" t="n">
        <x:v>6</x:v>
      </x:c>
      <x:c r="J60" s="185" t="n">
        <x:f>ROUND(G60*I60,2)</x:f>
        <x:v>228</x:v>
      </x:c>
      <x:c r="K60" s="168" t="n">
        <x:v>6.84</x:v>
      </x:c>
      <x:c r="L60" s="185" t="n">
        <x:f>ROUND(J60-K60,2)</x:f>
        <x:v>221.16</x:v>
      </x:c>
      <x:c r="M60" s="185" t="n">
        <x:f>IFERROR(INDEX('商品主数据'!$F$5:$F$16,MATCH(D60,'商品主数据'!$A$5:$A$16,0)),"")</x:f>
        <x:v>16</x:v>
      </x:c>
      <x:c r="N60" s="185" t="n">
        <x:f>ROUND(M60*I60,2)</x:f>
        <x:v>96</x:v>
      </x:c>
      <x:c r="O60" s="185" t="n">
        <x:f>ROUND(L60-N60,2)</x:f>
        <x:v>125.16</x:v>
      </x:c>
      <x:c r="P60" s="166" t="str">
        <x:v>微信支付</x:v>
      </x:c>
      <x:c r="Q60" s="169" t="str"/>
    </x:row>
    <x:row r="61">
      <x:c r="A61" s="165" t="n">
        <x:v>46249</x:v>
      </x:c>
      <x:c r="B61" s="166" t="str">
        <x:v>S001</x:v>
      </x:c>
      <x:c r="C61" s="182" t="str">
        <x:f>IFERROR(INDEX('门店主数据'!$B$5:$B$8,MATCH(B61,'门店主数据'!$A$5:$A$8,0)),"")</x:f>
        <x:v>人民广场店</x:v>
      </x:c>
      <x:c r="D61" s="166" t="str">
        <x:v>P009</x:v>
      </x:c>
      <x:c r="E61" s="182" t="str">
        <x:f>IFERROR(INDEX('商品主数据'!$B$5:$B$16,MATCH(D61,'商品主数据'!$A$5:$A$16,0)),"")</x:f>
        <x:v>黄油可颂</x:v>
      </x:c>
      <x:c r="F61" s="182" t="str">
        <x:f>IFERROR(INDEX('商品主数据'!$C$5:$C$16,MATCH(D61,'商品主数据'!$A$5:$A$16,0)),"")</x:f>
        <x:v>烘焙</x:v>
      </x:c>
      <x:c r="G61" s="185" t="n">
        <x:f>IFERROR(INDEX('商品主数据'!$E$5:$E$16,MATCH(D61,'商品主数据'!$A$5:$A$16,0)),"")</x:f>
        <x:v>18</x:v>
      </x:c>
      <x:c r="H61" s="167" t="n">
        <x:v>8</x:v>
      </x:c>
      <x:c r="I61" s="167" t="n">
        <x:v>11</x:v>
      </x:c>
      <x:c r="J61" s="185" t="n">
        <x:f>ROUND(G61*I61,2)</x:f>
        <x:v>198</x:v>
      </x:c>
      <x:c r="K61" s="168" t="n">
        <x:v>5.94</x:v>
      </x:c>
      <x:c r="L61" s="185" t="n">
        <x:f>ROUND(J61-K61,2)</x:f>
        <x:v>192.06</x:v>
      </x:c>
      <x:c r="M61" s="185" t="n">
        <x:f>IFERROR(INDEX('商品主数据'!$F$5:$F$16,MATCH(D61,'商品主数据'!$A$5:$A$16,0)),"")</x:f>
        <x:v>6</x:v>
      </x:c>
      <x:c r="N61" s="185" t="n">
        <x:f>ROUND(M61*I61,2)</x:f>
        <x:v>66</x:v>
      </x:c>
      <x:c r="O61" s="185" t="n">
        <x:f>ROUND(L61-N61,2)</x:f>
        <x:v>126.06</x:v>
      </x:c>
      <x:c r="P61" s="166" t="str">
        <x:v>支付宝</x:v>
      </x:c>
      <x:c r="Q61" s="169" t="str"/>
    </x:row>
    <x:row r="62">
      <x:c r="A62" s="165" t="n">
        <x:v>46249</x:v>
      </x:c>
      <x:c r="B62" s="166" t="str">
        <x:v>S001</x:v>
      </x:c>
      <x:c r="C62" s="182" t="str">
        <x:f>IFERROR(INDEX('门店主数据'!$B$5:$B$8,MATCH(B62,'门店主数据'!$A$5:$A$8,0)),"")</x:f>
        <x:v>人民广场店</x:v>
      </x:c>
      <x:c r="D62" s="166" t="str">
        <x:v>P010</x:v>
      </x:c>
      <x:c r="E62" s="182" t="str">
        <x:f>IFERROR(INDEX('商品主数据'!$B$5:$B$16,MATCH(D62,'商品主数据'!$A$5:$A$16,0)),"")</x:f>
        <x:v>蓝莓玛芬</x:v>
      </x:c>
      <x:c r="F62" s="182" t="str">
        <x:f>IFERROR(INDEX('商品主数据'!$C$5:$C$16,MATCH(D62,'商品主数据'!$A$5:$A$16,0)),"")</x:f>
        <x:v>烘焙</x:v>
      </x:c>
      <x:c r="G62" s="185" t="n">
        <x:f>IFERROR(INDEX('商品主数据'!$E$5:$E$16,MATCH(D62,'商品主数据'!$A$5:$A$16,0)),"")</x:f>
        <x:v>16</x:v>
      </x:c>
      <x:c r="H62" s="167" t="n">
        <x:v>5</x:v>
      </x:c>
      <x:c r="I62" s="167" t="n">
        <x:v>8</x:v>
      </x:c>
      <x:c r="J62" s="185" t="n">
        <x:f>ROUND(G62*I62,2)</x:f>
        <x:v>128</x:v>
      </x:c>
      <x:c r="K62" s="168" t="n">
        <x:v>10.24</x:v>
      </x:c>
      <x:c r="L62" s="185" t="n">
        <x:f>ROUND(J62-K62,2)</x:f>
        <x:v>117.76</x:v>
      </x:c>
      <x:c r="M62" s="185" t="n">
        <x:f>IFERROR(INDEX('商品主数据'!$F$5:$F$16,MATCH(D62,'商品主数据'!$A$5:$A$16,0)),"")</x:f>
        <x:v>5</x:v>
      </x:c>
      <x:c r="N62" s="185" t="n">
        <x:f>ROUND(M62*I62,2)</x:f>
        <x:v>40</x:v>
      </x:c>
      <x:c r="O62" s="185" t="n">
        <x:f>ROUND(L62-N62,2)</x:f>
        <x:v>77.76</x:v>
      </x:c>
      <x:c r="P62" s="166" t="str">
        <x:v>银行卡</x:v>
      </x:c>
      <x:c r="Q62" s="169" t="str"/>
    </x:row>
    <x:row r="63">
      <x:c r="A63" s="165" t="n">
        <x:v>46249</x:v>
      </x:c>
      <x:c r="B63" s="166" t="str">
        <x:v>S001</x:v>
      </x:c>
      <x:c r="C63" s="182" t="str">
        <x:f>IFERROR(INDEX('门店主数据'!$B$5:$B$8,MATCH(B63,'门店主数据'!$A$5:$A$8,0)),"")</x:f>
        <x:v>人民广场店</x:v>
      </x:c>
      <x:c r="D63" s="166" t="str">
        <x:v>P011</x:v>
      </x:c>
      <x:c r="E63" s="182" t="str">
        <x:f>IFERROR(INDEX('商品主数据'!$B$5:$B$16,MATCH(D63,'商品主数据'!$A$5:$A$16,0)),"")</x:f>
        <x:v>火腿芝士三明治</x:v>
      </x:c>
      <x:c r="F63" s="182" t="str">
        <x:f>IFERROR(INDEX('商品主数据'!$C$5:$C$16,MATCH(D63,'商品主数据'!$A$5:$A$16,0)),"")</x:f>
        <x:v>轻食</x:v>
      </x:c>
      <x:c r="G63" s="185" t="n">
        <x:f>IFERROR(INDEX('商品主数据'!$E$5:$E$16,MATCH(D63,'商品主数据'!$A$5:$A$16,0)),"")</x:f>
        <x:v>32</x:v>
      </x:c>
      <x:c r="H63" s="167" t="n">
        <x:v>4</x:v>
      </x:c>
      <x:c r="I63" s="167" t="n">
        <x:v>7</x:v>
      </x:c>
      <x:c r="J63" s="185" t="n">
        <x:f>ROUND(G63*I63,2)</x:f>
        <x:v>224</x:v>
      </x:c>
      <x:c r="K63" s="168" t="n">
        <x:v>6.72</x:v>
      </x:c>
      <x:c r="L63" s="185" t="n">
        <x:f>ROUND(J63-K63,2)</x:f>
        <x:v>217.28</x:v>
      </x:c>
      <x:c r="M63" s="185" t="n">
        <x:f>IFERROR(INDEX('商品主数据'!$F$5:$F$16,MATCH(D63,'商品主数据'!$A$5:$A$16,0)),"")</x:f>
        <x:v>13</x:v>
      </x:c>
      <x:c r="N63" s="185" t="n">
        <x:f>ROUND(M63*I63,2)</x:f>
        <x:v>91</x:v>
      </x:c>
      <x:c r="O63" s="185" t="n">
        <x:f>ROUND(L63-N63,2)</x:f>
        <x:v>126.28</x:v>
      </x:c>
      <x:c r="P63" s="166" t="str">
        <x:v>现金</x:v>
      </x:c>
      <x:c r="Q63" s="169" t="str"/>
    </x:row>
    <x:row r="64">
      <x:c r="A64" s="165" t="n">
        <x:v>46249</x:v>
      </x:c>
      <x:c r="B64" s="166" t="str">
        <x:v>S001</x:v>
      </x:c>
      <x:c r="C64" s="182" t="str">
        <x:f>IFERROR(INDEX('门店主数据'!$B$5:$B$8,MATCH(B64,'门店主数据'!$A$5:$A$8,0)),"")</x:f>
        <x:v>人民广场店</x:v>
      </x:c>
      <x:c r="D64" s="166" t="str">
        <x:v>P012</x:v>
      </x:c>
      <x:c r="E64" s="182" t="str">
        <x:f>IFERROR(INDEX('商品主数据'!$B$5:$B$16,MATCH(D64,'商品主数据'!$A$5:$A$16,0)),"")</x:f>
        <x:v>燕麦奶加料</x:v>
      </x:c>
      <x:c r="F64" s="182" t="str">
        <x:f>IFERROR(INDEX('商品主数据'!$C$5:$C$16,MATCH(D64,'商品主数据'!$A$5:$A$16,0)),"")</x:f>
        <x:v>加料</x:v>
      </x:c>
      <x:c r="G64" s="185" t="n">
        <x:f>IFERROR(INDEX('商品主数据'!$E$5:$E$16,MATCH(D64,'商品主数据'!$A$5:$A$16,0)),"")</x:f>
        <x:v>5</x:v>
      </x:c>
      <x:c r="H64" s="167" t="n">
        <x:v>1</x:v>
      </x:c>
      <x:c r="I64" s="167" t="n">
        <x:v>2</x:v>
      </x:c>
      <x:c r="J64" s="185" t="n">
        <x:f>ROUND(G64*I64,2)</x:f>
        <x:v>10</x:v>
      </x:c>
      <x:c r="K64" s="168" t="n">
        <x:v>0.3</x:v>
      </x:c>
      <x:c r="L64" s="185" t="n">
        <x:f>ROUND(J64-K64,2)</x:f>
        <x:v>9.7</x:v>
      </x:c>
      <x:c r="M64" s="185" t="n">
        <x:f>IFERROR(INDEX('商品主数据'!$F$5:$F$16,MATCH(D64,'商品主数据'!$A$5:$A$16,0)),"")</x:f>
        <x:v>1.8</x:v>
      </x:c>
      <x:c r="N64" s="185" t="n">
        <x:f>ROUND(M64*I64,2)</x:f>
        <x:v>3.6</x:v>
      </x:c>
      <x:c r="O64" s="185" t="n">
        <x:f>ROUND(L64-N64,2)</x:f>
        <x:v>6.1</x:v>
      </x:c>
      <x:c r="P64" s="166" t="str">
        <x:v>微信支付</x:v>
      </x:c>
      <x:c r="Q64" s="169" t="str"/>
    </x:row>
    <x:row r="65">
      <x:c r="A65" s="165" t="n">
        <x:v>46249</x:v>
      </x:c>
      <x:c r="B65" s="166" t="str">
        <x:v>S002</x:v>
      </x:c>
      <x:c r="C65" s="182" t="str">
        <x:f>IFERROR(INDEX('门店主数据'!$B$5:$B$8,MATCH(B65,'门店主数据'!$A$5:$A$8,0)),"")</x:f>
        <x:v>滨江店</x:v>
      </x:c>
      <x:c r="D65" s="166" t="str">
        <x:v>P001</x:v>
      </x:c>
      <x:c r="E65" s="182" t="str">
        <x:f>IFERROR(INDEX('商品主数据'!$B$5:$B$16,MATCH(D65,'商品主数据'!$A$5:$A$16,0)),"")</x:f>
        <x:v>浓缩咖啡</x:v>
      </x:c>
      <x:c r="F65" s="182" t="str">
        <x:f>IFERROR(INDEX('商品主数据'!$C$5:$C$16,MATCH(D65,'商品主数据'!$A$5:$A$16,0)),"")</x:f>
        <x:v>咖啡</x:v>
      </x:c>
      <x:c r="G65" s="185" t="n">
        <x:f>IFERROR(INDEX('商品主数据'!$E$5:$E$16,MATCH(D65,'商品主数据'!$A$5:$A$16,0)),"")</x:f>
        <x:v>22</x:v>
      </x:c>
      <x:c r="H65" s="167" t="n">
        <x:v>7</x:v>
      </x:c>
      <x:c r="I65" s="167" t="n">
        <x:v>9</x:v>
      </x:c>
      <x:c r="J65" s="185" t="n">
        <x:f>ROUND(G65*I65,2)</x:f>
        <x:v>198</x:v>
      </x:c>
      <x:c r="K65" s="168" t="n">
        <x:v>5.94</x:v>
      </x:c>
      <x:c r="L65" s="185" t="n">
        <x:f>ROUND(J65-K65,2)</x:f>
        <x:v>192.06</x:v>
      </x:c>
      <x:c r="M65" s="185" t="n">
        <x:f>IFERROR(INDEX('商品主数据'!$F$5:$F$16,MATCH(D65,'商品主数据'!$A$5:$A$16,0)),"")</x:f>
        <x:v>5.5</x:v>
      </x:c>
      <x:c r="N65" s="185" t="n">
        <x:f>ROUND(M65*I65,2)</x:f>
        <x:v>49.5</x:v>
      </x:c>
      <x:c r="O65" s="185" t="n">
        <x:f>ROUND(L65-N65,2)</x:f>
        <x:v>142.56</x:v>
      </x:c>
      <x:c r="P65" s="166" t="str">
        <x:v>银行卡</x:v>
      </x:c>
      <x:c r="Q65" s="169" t="str"/>
    </x:row>
    <x:row r="66">
      <x:c r="A66" s="165" t="n">
        <x:v>46249</x:v>
      </x:c>
      <x:c r="B66" s="166" t="str">
        <x:v>S002</x:v>
      </x:c>
      <x:c r="C66" s="182" t="str">
        <x:f>IFERROR(INDEX('门店主数据'!$B$5:$B$8,MATCH(B66,'门店主数据'!$A$5:$A$8,0)),"")</x:f>
        <x:v>滨江店</x:v>
      </x:c>
      <x:c r="D66" s="166" t="str">
        <x:v>P002</x:v>
      </x:c>
      <x:c r="E66" s="182" t="str">
        <x:f>IFERROR(INDEX('商品主数据'!$B$5:$B$16,MATCH(D66,'商品主数据'!$A$5:$A$16,0)),"")</x:f>
        <x:v>美式咖啡</x:v>
      </x:c>
      <x:c r="F66" s="182" t="str">
        <x:f>IFERROR(INDEX('商品主数据'!$C$5:$C$16,MATCH(D66,'商品主数据'!$A$5:$A$16,0)),"")</x:f>
        <x:v>咖啡</x:v>
      </x:c>
      <x:c r="G66" s="185" t="n">
        <x:f>IFERROR(INDEX('商品主数据'!$E$5:$E$16,MATCH(D66,'商品主数据'!$A$5:$A$16,0)),"")</x:f>
        <x:v>26</x:v>
      </x:c>
      <x:c r="H66" s="167" t="n">
        <x:v>13</x:v>
      </x:c>
      <x:c r="I66" s="167" t="n">
        <x:v>16</x:v>
      </x:c>
      <x:c r="J66" s="185" t="n">
        <x:f>ROUND(G66*I66,2)</x:f>
        <x:v>416</x:v>
      </x:c>
      <x:c r="K66" s="168" t="n">
        <x:v>12.48</x:v>
      </x:c>
      <x:c r="L66" s="185" t="n">
        <x:f>ROUND(J66-K66,2)</x:f>
        <x:v>403.52</x:v>
      </x:c>
      <x:c r="M66" s="185" t="n">
        <x:f>IFERROR(INDEX('商品主数据'!$F$5:$F$16,MATCH(D66,'商品主数据'!$A$5:$A$16,0)),"")</x:f>
        <x:v>6</x:v>
      </x:c>
      <x:c r="N66" s="185" t="n">
        <x:f>ROUND(M66*I66,2)</x:f>
        <x:v>96</x:v>
      </x:c>
      <x:c r="O66" s="185" t="n">
        <x:f>ROUND(L66-N66,2)</x:f>
        <x:v>307.52</x:v>
      </x:c>
      <x:c r="P66" s="166" t="str">
        <x:v>现金</x:v>
      </x:c>
      <x:c r="Q66" s="169" t="str"/>
    </x:row>
    <x:row r="67">
      <x:c r="A67" s="165" t="n">
        <x:v>46249</x:v>
      </x:c>
      <x:c r="B67" s="166" t="str">
        <x:v>S002</x:v>
      </x:c>
      <x:c r="C67" s="182" t="str">
        <x:f>IFERROR(INDEX('门店主数据'!$B$5:$B$8,MATCH(B67,'门店主数据'!$A$5:$A$8,0)),"")</x:f>
        <x:v>滨江店</x:v>
      </x:c>
      <x:c r="D67" s="166" t="str">
        <x:v>P003</x:v>
      </x:c>
      <x:c r="E67" s="182" t="str">
        <x:f>IFERROR(INDEX('商品主数据'!$B$5:$B$16,MATCH(D67,'商品主数据'!$A$5:$A$16,0)),"")</x:f>
        <x:v>拿铁咖啡</x:v>
      </x:c>
      <x:c r="F67" s="182" t="str">
        <x:f>IFERROR(INDEX('商品主数据'!$C$5:$C$16,MATCH(D67,'商品主数据'!$A$5:$A$16,0)),"")</x:f>
        <x:v>咖啡</x:v>
      </x:c>
      <x:c r="G67" s="185" t="n">
        <x:f>IFERROR(INDEX('商品主数据'!$E$5:$E$16,MATCH(D67,'商品主数据'!$A$5:$A$16,0)),"")</x:f>
        <x:v>32</x:v>
      </x:c>
      <x:c r="H67" s="167" t="n">
        <x:v>10</x:v>
      </x:c>
      <x:c r="I67" s="167" t="n">
        <x:v>13</x:v>
      </x:c>
      <x:c r="J67" s="185" t="n">
        <x:f>ROUND(G67*I67,2)</x:f>
        <x:v>416</x:v>
      </x:c>
      <x:c r="K67" s="168" t="n">
        <x:v>12.48</x:v>
      </x:c>
      <x:c r="L67" s="185" t="n">
        <x:f>ROUND(J67-K67,2)</x:f>
        <x:v>403.52</x:v>
      </x:c>
      <x:c r="M67" s="185" t="n">
        <x:f>IFERROR(INDEX('商品主数据'!$F$5:$F$16,MATCH(D67,'商品主数据'!$A$5:$A$16,0)),"")</x:f>
        <x:v>8.5</x:v>
      </x:c>
      <x:c r="N67" s="185" t="n">
        <x:f>ROUND(M67*I67,2)</x:f>
        <x:v>110.5</x:v>
      </x:c>
      <x:c r="O67" s="185" t="n">
        <x:f>ROUND(L67-N67,2)</x:f>
        <x:v>293.02</x:v>
      </x:c>
      <x:c r="P67" s="166" t="str">
        <x:v>微信支付</x:v>
      </x:c>
      <x:c r="Q67" s="169" t="str"/>
    </x:row>
    <x:row r="68">
      <x:c r="A68" s="165" t="n">
        <x:v>46249</x:v>
      </x:c>
      <x:c r="B68" s="166" t="str">
        <x:v>S002</x:v>
      </x:c>
      <x:c r="C68" s="182" t="str">
        <x:f>IFERROR(INDEX('门店主数据'!$B$5:$B$8,MATCH(B68,'门店主数据'!$A$5:$A$8,0)),"")</x:f>
        <x:v>滨江店</x:v>
      </x:c>
      <x:c r="D68" s="166" t="str">
        <x:v>P004</x:v>
      </x:c>
      <x:c r="E68" s="182" t="str">
        <x:f>IFERROR(INDEX('商品主数据'!$B$5:$B$16,MATCH(D68,'商品主数据'!$A$5:$A$16,0)),"")</x:f>
        <x:v>卡布奇诺</x:v>
      </x:c>
      <x:c r="F68" s="182" t="str">
        <x:f>IFERROR(INDEX('商品主数据'!$C$5:$C$16,MATCH(D68,'商品主数据'!$A$5:$A$16,0)),"")</x:f>
        <x:v>咖啡</x:v>
      </x:c>
      <x:c r="G68" s="185" t="n">
        <x:f>IFERROR(INDEX('商品主数据'!$E$5:$E$16,MATCH(D68,'商品主数据'!$A$5:$A$16,0)),"")</x:f>
        <x:v>32</x:v>
      </x:c>
      <x:c r="H68" s="167" t="n">
        <x:v>7</x:v>
      </x:c>
      <x:c r="I68" s="167" t="n">
        <x:v>10</x:v>
      </x:c>
      <x:c r="J68" s="185" t="n">
        <x:f>ROUND(G68*I68,2)</x:f>
        <x:v>320</x:v>
      </x:c>
      <x:c r="K68" s="168" t="n">
        <x:v>25.6</x:v>
      </x:c>
      <x:c r="L68" s="185" t="n">
        <x:f>ROUND(J68-K68,2)</x:f>
        <x:v>294.4</x:v>
      </x:c>
      <x:c r="M68" s="185" t="n">
        <x:f>IFERROR(INDEX('商品主数据'!$F$5:$F$16,MATCH(D68,'商品主数据'!$A$5:$A$16,0)),"")</x:f>
        <x:v>8.5</x:v>
      </x:c>
      <x:c r="N68" s="185" t="n">
        <x:f>ROUND(M68*I68,2)</x:f>
        <x:v>85</x:v>
      </x:c>
      <x:c r="O68" s="185" t="n">
        <x:f>ROUND(L68-N68,2)</x:f>
        <x:v>209.4</x:v>
      </x:c>
      <x:c r="P68" s="166" t="str">
        <x:v>支付宝</x:v>
      </x:c>
      <x:c r="Q68" s="169" t="str"/>
    </x:row>
    <x:row r="69">
      <x:c r="A69" s="165" t="n">
        <x:v>46249</x:v>
      </x:c>
      <x:c r="B69" s="166" t="str">
        <x:v>S002</x:v>
      </x:c>
      <x:c r="C69" s="182" t="str">
        <x:f>IFERROR(INDEX('门店主数据'!$B$5:$B$8,MATCH(B69,'门店主数据'!$A$5:$A$8,0)),"")</x:f>
        <x:v>滨江店</x:v>
      </x:c>
      <x:c r="D69" s="166" t="str">
        <x:v>P005</x:v>
      </x:c>
      <x:c r="E69" s="182" t="str">
        <x:f>IFERROR(INDEX('商品主数据'!$B$5:$B$16,MATCH(D69,'商品主数据'!$A$5:$A$16,0)),"")</x:f>
        <x:v>摩卡咖啡</x:v>
      </x:c>
      <x:c r="F69" s="182" t="str">
        <x:f>IFERROR(INDEX('商品主数据'!$C$5:$C$16,MATCH(D69,'商品主数据'!$A$5:$A$16,0)),"")</x:f>
        <x:v>咖啡</x:v>
      </x:c>
      <x:c r="G69" s="185" t="n">
        <x:f>IFERROR(INDEX('商品主数据'!$E$5:$E$16,MATCH(D69,'商品主数据'!$A$5:$A$16,0)),"")</x:f>
        <x:v>36</x:v>
      </x:c>
      <x:c r="H69" s="167" t="n">
        <x:v>3</x:v>
      </x:c>
      <x:c r="I69" s="167" t="n">
        <x:v>5</x:v>
      </x:c>
      <x:c r="J69" s="185" t="n">
        <x:f>ROUND(G69*I69,2)</x:f>
        <x:v>180</x:v>
      </x:c>
      <x:c r="K69" s="168" t="n">
        <x:v>5.4</x:v>
      </x:c>
      <x:c r="L69" s="185" t="n">
        <x:f>ROUND(J69-K69,2)</x:f>
        <x:v>174.6</x:v>
      </x:c>
      <x:c r="M69" s="185" t="n">
        <x:f>IFERROR(INDEX('商品主数据'!$F$5:$F$16,MATCH(D69,'商品主数据'!$A$5:$A$16,0)),"")</x:f>
        <x:v>10</x:v>
      </x:c>
      <x:c r="N69" s="185" t="n">
        <x:f>ROUND(M69*I69,2)</x:f>
        <x:v>50</x:v>
      </x:c>
      <x:c r="O69" s="185" t="n">
        <x:f>ROUND(L69-N69,2)</x:f>
        <x:v>124.6</x:v>
      </x:c>
      <x:c r="P69" s="166" t="str">
        <x:v>银行卡</x:v>
      </x:c>
      <x:c r="Q69" s="169" t="str"/>
    </x:row>
    <x:row r="70">
      <x:c r="A70" s="165" t="n">
        <x:v>46249</x:v>
      </x:c>
      <x:c r="B70" s="166" t="str">
        <x:v>S002</x:v>
      </x:c>
      <x:c r="C70" s="182" t="str">
        <x:f>IFERROR(INDEX('门店主数据'!$B$5:$B$8,MATCH(B70,'门店主数据'!$A$5:$A$8,0)),"")</x:f>
        <x:v>滨江店</x:v>
      </x:c>
      <x:c r="D70" s="166" t="str">
        <x:v>P006</x:v>
      </x:c>
      <x:c r="E70" s="182" t="str">
        <x:f>IFERROR(INDEX('商品主数据'!$B$5:$B$16,MATCH(D70,'商品主数据'!$A$5:$A$16,0)),"")</x:f>
        <x:v>冷萃咖啡</x:v>
      </x:c>
      <x:c r="F70" s="182" t="str">
        <x:f>IFERROR(INDEX('商品主数据'!$C$5:$C$16,MATCH(D70,'商品主数据'!$A$5:$A$16,0)),"")</x:f>
        <x:v>咖啡</x:v>
      </x:c>
      <x:c r="G70" s="185" t="n">
        <x:f>IFERROR(INDEX('商品主数据'!$E$5:$E$16,MATCH(D70,'商品主数据'!$A$5:$A$16,0)),"")</x:f>
        <x:v>34</x:v>
      </x:c>
      <x:c r="H70" s="167" t="n">
        <x:v>5</x:v>
      </x:c>
      <x:c r="I70" s="167" t="n">
        <x:v>7</x:v>
      </x:c>
      <x:c r="J70" s="185" t="n">
        <x:f>ROUND(G70*I70,2)</x:f>
        <x:v>238</x:v>
      </x:c>
      <x:c r="K70" s="168" t="n">
        <x:v>7.14</x:v>
      </x:c>
      <x:c r="L70" s="185" t="n">
        <x:f>ROUND(J70-K70,2)</x:f>
        <x:v>230.86</x:v>
      </x:c>
      <x:c r="M70" s="185" t="n">
        <x:f>IFERROR(INDEX('商品主数据'!$F$5:$F$16,MATCH(D70,'商品主数据'!$A$5:$A$16,0)),"")</x:f>
        <x:v>9.5</x:v>
      </x:c>
      <x:c r="N70" s="185" t="n">
        <x:f>ROUND(M70*I70,2)</x:f>
        <x:v>66.5</x:v>
      </x:c>
      <x:c r="O70" s="185" t="n">
        <x:f>ROUND(L70-N70,2)</x:f>
        <x:v>164.36</x:v>
      </x:c>
      <x:c r="P70" s="166" t="str">
        <x:v>现金</x:v>
      </x:c>
      <x:c r="Q70" s="169" t="str"/>
    </x:row>
    <x:row r="71">
      <x:c r="A71" s="165" t="n">
        <x:v>46249</x:v>
      </x:c>
      <x:c r="B71" s="166" t="str">
        <x:v>S002</x:v>
      </x:c>
      <x:c r="C71" s="182" t="str">
        <x:f>IFERROR(INDEX('门店主数据'!$B$5:$B$8,MATCH(B71,'门店主数据'!$A$5:$A$8,0)),"")</x:f>
        <x:v>滨江店</x:v>
      </x:c>
      <x:c r="D71" s="166" t="str">
        <x:v>P007</x:v>
      </x:c>
      <x:c r="E71" s="182" t="str">
        <x:f>IFERROR(INDEX('商品主数据'!$B$5:$B$16,MATCH(D71,'商品主数据'!$A$5:$A$16,0)),"")</x:f>
        <x:v>抹茶拿铁</x:v>
      </x:c>
      <x:c r="F71" s="182" t="str">
        <x:f>IFERROR(INDEX('商品主数据'!$C$5:$C$16,MATCH(D71,'商品主数据'!$A$5:$A$16,0)),"")</x:f>
        <x:v>茶饮</x:v>
      </x:c>
      <x:c r="G71" s="185" t="n">
        <x:f>IFERROR(INDEX('商品主数据'!$E$5:$E$16,MATCH(D71,'商品主数据'!$A$5:$A$16,0)),"")</x:f>
        <x:v>34</x:v>
      </x:c>
      <x:c r="H71" s="167" t="n">
        <x:v>4</x:v>
      </x:c>
      <x:c r="I71" s="167" t="n">
        <x:v>6</x:v>
      </x:c>
      <x:c r="J71" s="185" t="n">
        <x:f>ROUND(G71*I71,2)</x:f>
        <x:v>204</x:v>
      </x:c>
      <x:c r="K71" s="168" t="n">
        <x:v>6.12</x:v>
      </x:c>
      <x:c r="L71" s="185" t="n">
        <x:f>ROUND(J71-K71,2)</x:f>
        <x:v>197.88</x:v>
      </x:c>
      <x:c r="M71" s="185" t="n">
        <x:f>IFERROR(INDEX('商品主数据'!$F$5:$F$16,MATCH(D71,'商品主数据'!$A$5:$A$16,0)),"")</x:f>
        <x:v>9</x:v>
      </x:c>
      <x:c r="N71" s="185" t="n">
        <x:f>ROUND(M71*I71,2)</x:f>
        <x:v>54</x:v>
      </x:c>
      <x:c r="O71" s="185" t="n">
        <x:f>ROUND(L71-N71,2)</x:f>
        <x:v>143.88</x:v>
      </x:c>
      <x:c r="P71" s="166" t="str">
        <x:v>微信支付</x:v>
      </x:c>
      <x:c r="Q71" s="169" t="str"/>
    </x:row>
    <x:row r="72">
      <x:c r="A72" s="165" t="n">
        <x:v>46249</x:v>
      </x:c>
      <x:c r="B72" s="166" t="str">
        <x:v>S002</x:v>
      </x:c>
      <x:c r="C72" s="182" t="str">
        <x:f>IFERROR(INDEX('门店主数据'!$B$5:$B$8,MATCH(B72,'门店主数据'!$A$5:$A$8,0)),"")</x:f>
        <x:v>滨江店</x:v>
      </x:c>
      <x:c r="D72" s="166" t="str">
        <x:v>P008</x:v>
      </x:c>
      <x:c r="E72" s="182" t="str">
        <x:f>IFERROR(INDEX('商品主数据'!$B$5:$B$16,MATCH(D72,'商品主数据'!$A$5:$A$16,0)),"")</x:f>
        <x:v>海盐芝士蛋糕</x:v>
      </x:c>
      <x:c r="F72" s="182" t="str">
        <x:f>IFERROR(INDEX('商品主数据'!$C$5:$C$16,MATCH(D72,'商品主数据'!$A$5:$A$16,0)),"")</x:f>
        <x:v>烘焙</x:v>
      </x:c>
      <x:c r="G72" s="185" t="n">
        <x:f>IFERROR(INDEX('商品主数据'!$E$5:$E$16,MATCH(D72,'商品主数据'!$A$5:$A$16,0)),"")</x:f>
        <x:v>38</x:v>
      </x:c>
      <x:c r="H72" s="167" t="n">
        <x:v>1</x:v>
      </x:c>
      <x:c r="I72" s="167" t="n">
        <x:v>3</x:v>
      </x:c>
      <x:c r="J72" s="185" t="n">
        <x:f>ROUND(G72*I72,2)</x:f>
        <x:v>114</x:v>
      </x:c>
      <x:c r="K72" s="168" t="n">
        <x:v>3.42</x:v>
      </x:c>
      <x:c r="L72" s="185" t="n">
        <x:f>ROUND(J72-K72,2)</x:f>
        <x:v>110.58</x:v>
      </x:c>
      <x:c r="M72" s="185" t="n">
        <x:f>IFERROR(INDEX('商品主数据'!$F$5:$F$16,MATCH(D72,'商品主数据'!$A$5:$A$16,0)),"")</x:f>
        <x:v>16</x:v>
      </x:c>
      <x:c r="N72" s="185" t="n">
        <x:f>ROUND(M72*I72,2)</x:f>
        <x:v>48</x:v>
      </x:c>
      <x:c r="O72" s="185" t="n">
        <x:f>ROUND(L72-N72,2)</x:f>
        <x:v>62.58</x:v>
      </x:c>
      <x:c r="P72" s="166" t="str">
        <x:v>支付宝</x:v>
      </x:c>
      <x:c r="Q72" s="169" t="str"/>
    </x:row>
    <x:row r="73">
      <x:c r="A73" s="165" t="n">
        <x:v>46249</x:v>
      </x:c>
      <x:c r="B73" s="166" t="str">
        <x:v>S002</x:v>
      </x:c>
      <x:c r="C73" s="182" t="str">
        <x:f>IFERROR(INDEX('门店主数据'!$B$5:$B$8,MATCH(B73,'门店主数据'!$A$5:$A$8,0)),"")</x:f>
        <x:v>滨江店</x:v>
      </x:c>
      <x:c r="D73" s="166" t="str">
        <x:v>P009</x:v>
      </x:c>
      <x:c r="E73" s="182" t="str">
        <x:f>IFERROR(INDEX('商品主数据'!$B$5:$B$16,MATCH(D73,'商品主数据'!$A$5:$A$16,0)),"")</x:f>
        <x:v>黄油可颂</x:v>
      </x:c>
      <x:c r="F73" s="182" t="str">
        <x:f>IFERROR(INDEX('商品主数据'!$C$5:$C$16,MATCH(D73,'商品主数据'!$A$5:$A$16,0)),"")</x:f>
        <x:v>烘焙</x:v>
      </x:c>
      <x:c r="G73" s="185" t="n">
        <x:f>IFERROR(INDEX('商品主数据'!$E$5:$E$16,MATCH(D73,'商品主数据'!$A$5:$A$16,0)),"")</x:f>
        <x:v>18</x:v>
      </x:c>
      <x:c r="H73" s="167" t="n">
        <x:v>7</x:v>
      </x:c>
      <x:c r="I73" s="167" t="n">
        <x:v>10</x:v>
      </x:c>
      <x:c r="J73" s="185" t="n">
        <x:f>ROUND(G73*I73,2)</x:f>
        <x:v>180</x:v>
      </x:c>
      <x:c r="K73" s="168" t="n">
        <x:v>14.4</x:v>
      </x:c>
      <x:c r="L73" s="185" t="n">
        <x:f>ROUND(J73-K73,2)</x:f>
        <x:v>165.6</x:v>
      </x:c>
      <x:c r="M73" s="185" t="n">
        <x:f>IFERROR(INDEX('商品主数据'!$F$5:$F$16,MATCH(D73,'商品主数据'!$A$5:$A$16,0)),"")</x:f>
        <x:v>6</x:v>
      </x:c>
      <x:c r="N73" s="185" t="n">
        <x:f>ROUND(M73*I73,2)</x:f>
        <x:v>60</x:v>
      </x:c>
      <x:c r="O73" s="185" t="n">
        <x:f>ROUND(L73-N73,2)</x:f>
        <x:v>105.6</x:v>
      </x:c>
      <x:c r="P73" s="166" t="str">
        <x:v>银行卡</x:v>
      </x:c>
      <x:c r="Q73" s="169" t="str"/>
    </x:row>
    <x:row r="74">
      <x:c r="A74" s="165" t="n">
        <x:v>46249</x:v>
      </x:c>
      <x:c r="B74" s="166" t="str">
        <x:v>S002</x:v>
      </x:c>
      <x:c r="C74" s="182" t="str">
        <x:f>IFERROR(INDEX('门店主数据'!$B$5:$B$8,MATCH(B74,'门店主数据'!$A$5:$A$8,0)),"")</x:f>
        <x:v>滨江店</x:v>
      </x:c>
      <x:c r="D74" s="166" t="str">
        <x:v>P010</x:v>
      </x:c>
      <x:c r="E74" s="182" t="str">
        <x:f>IFERROR(INDEX('商品主数据'!$B$5:$B$16,MATCH(D74,'商品主数据'!$A$5:$A$16,0)),"")</x:f>
        <x:v>蓝莓玛芬</x:v>
      </x:c>
      <x:c r="F74" s="182" t="str">
        <x:f>IFERROR(INDEX('商品主数据'!$C$5:$C$16,MATCH(D74,'商品主数据'!$A$5:$A$16,0)),"")</x:f>
        <x:v>烘焙</x:v>
      </x:c>
      <x:c r="G74" s="185" t="n">
        <x:f>IFERROR(INDEX('商品主数据'!$E$5:$E$16,MATCH(D74,'商品主数据'!$A$5:$A$16,0)),"")</x:f>
        <x:v>16</x:v>
      </x:c>
      <x:c r="H74" s="167" t="n">
        <x:v>5</x:v>
      </x:c>
      <x:c r="I74" s="167" t="n">
        <x:v>8</x:v>
      </x:c>
      <x:c r="J74" s="185" t="n">
        <x:f>ROUND(G74*I74,2)</x:f>
        <x:v>128</x:v>
      </x:c>
      <x:c r="K74" s="168" t="n">
        <x:v>3.84</x:v>
      </x:c>
      <x:c r="L74" s="185" t="n">
        <x:f>ROUND(J74-K74,2)</x:f>
        <x:v>124.16</x:v>
      </x:c>
      <x:c r="M74" s="185" t="n">
        <x:f>IFERROR(INDEX('商品主数据'!$F$5:$F$16,MATCH(D74,'商品主数据'!$A$5:$A$16,0)),"")</x:f>
        <x:v>5</x:v>
      </x:c>
      <x:c r="N74" s="185" t="n">
        <x:f>ROUND(M74*I74,2)</x:f>
        <x:v>40</x:v>
      </x:c>
      <x:c r="O74" s="185" t="n">
        <x:f>ROUND(L74-N74,2)</x:f>
        <x:v>84.16</x:v>
      </x:c>
      <x:c r="P74" s="166" t="str">
        <x:v>现金</x:v>
      </x:c>
      <x:c r="Q74" s="169" t="str"/>
    </x:row>
    <x:row r="75">
      <x:c r="A75" s="165" t="n">
        <x:v>46249</x:v>
      </x:c>
      <x:c r="B75" s="166" t="str">
        <x:v>S002</x:v>
      </x:c>
      <x:c r="C75" s="182" t="str">
        <x:f>IFERROR(INDEX('门店主数据'!$B$5:$B$8,MATCH(B75,'门店主数据'!$A$5:$A$8,0)),"")</x:f>
        <x:v>滨江店</x:v>
      </x:c>
      <x:c r="D75" s="166" t="str">
        <x:v>P011</x:v>
      </x:c>
      <x:c r="E75" s="182" t="str">
        <x:f>IFERROR(INDEX('商品主数据'!$B$5:$B$16,MATCH(D75,'商品主数据'!$A$5:$A$16,0)),"")</x:f>
        <x:v>火腿芝士三明治</x:v>
      </x:c>
      <x:c r="F75" s="182" t="str">
        <x:f>IFERROR(INDEX('商品主数据'!$C$5:$C$16,MATCH(D75,'商品主数据'!$A$5:$A$16,0)),"")</x:f>
        <x:v>轻食</x:v>
      </x:c>
      <x:c r="G75" s="185" t="n">
        <x:f>IFERROR(INDEX('商品主数据'!$E$5:$E$16,MATCH(D75,'商品主数据'!$A$5:$A$16,0)),"")</x:f>
        <x:v>32</x:v>
      </x:c>
      <x:c r="H75" s="167" t="n">
        <x:v>2</x:v>
      </x:c>
      <x:c r="I75" s="167" t="n">
        <x:v>4</x:v>
      </x:c>
      <x:c r="J75" s="185" t="n">
        <x:f>ROUND(G75*I75,2)</x:f>
        <x:v>128</x:v>
      </x:c>
      <x:c r="K75" s="168" t="n">
        <x:v>3.84</x:v>
      </x:c>
      <x:c r="L75" s="185" t="n">
        <x:f>ROUND(J75-K75,2)</x:f>
        <x:v>124.16</x:v>
      </x:c>
      <x:c r="M75" s="185" t="n">
        <x:f>IFERROR(INDEX('商品主数据'!$F$5:$F$16,MATCH(D75,'商品主数据'!$A$5:$A$16,0)),"")</x:f>
        <x:v>13</x:v>
      </x:c>
      <x:c r="N75" s="185" t="n">
        <x:f>ROUND(M75*I75,2)</x:f>
        <x:v>52</x:v>
      </x:c>
      <x:c r="O75" s="185" t="n">
        <x:f>ROUND(L75-N75,2)</x:f>
        <x:v>72.16</x:v>
      </x:c>
      <x:c r="P75" s="166" t="str">
        <x:v>微信支付</x:v>
      </x:c>
      <x:c r="Q75" s="169" t="str"/>
    </x:row>
    <x:row r="76">
      <x:c r="A76" s="165" t="n">
        <x:v>46249</x:v>
      </x:c>
      <x:c r="B76" s="166" t="str">
        <x:v>S002</x:v>
      </x:c>
      <x:c r="C76" s="182" t="str">
        <x:f>IFERROR(INDEX('门店主数据'!$B$5:$B$8,MATCH(B76,'门店主数据'!$A$5:$A$8,0)),"")</x:f>
        <x:v>滨江店</x:v>
      </x:c>
      <x:c r="D76" s="166" t="str">
        <x:v>P012</x:v>
      </x:c>
      <x:c r="E76" s="182" t="str">
        <x:f>IFERROR(INDEX('商品主数据'!$B$5:$B$16,MATCH(D76,'商品主数据'!$A$5:$A$16,0)),"")</x:f>
        <x:v>燕麦奶加料</x:v>
      </x:c>
      <x:c r="F76" s="182" t="str">
        <x:f>IFERROR(INDEX('商品主数据'!$C$5:$C$16,MATCH(D76,'商品主数据'!$A$5:$A$16,0)),"")</x:f>
        <x:v>加料</x:v>
      </x:c>
      <x:c r="G76" s="185" t="n">
        <x:f>IFERROR(INDEX('商品主数据'!$E$5:$E$16,MATCH(D76,'商品主数据'!$A$5:$A$16,0)),"")</x:f>
        <x:v>5</x:v>
      </x:c>
      <x:c r="H76" s="167" t="n">
        <x:v>1</x:v>
      </x:c>
      <x:c r="I76" s="167" t="n">
        <x:v>3</x:v>
      </x:c>
      <x:c r="J76" s="185" t="n">
        <x:f>ROUND(G76*I76,2)</x:f>
        <x:v>15</x:v>
      </x:c>
      <x:c r="K76" s="168" t="n">
        <x:v>0.45</x:v>
      </x:c>
      <x:c r="L76" s="185" t="n">
        <x:f>ROUND(J76-K76,2)</x:f>
        <x:v>14.55</x:v>
      </x:c>
      <x:c r="M76" s="185" t="n">
        <x:f>IFERROR(INDEX('商品主数据'!$F$5:$F$16,MATCH(D76,'商品主数据'!$A$5:$A$16,0)),"")</x:f>
        <x:v>1.8</x:v>
      </x:c>
      <x:c r="N76" s="185" t="n">
        <x:f>ROUND(M76*I76,2)</x:f>
        <x:v>5.4</x:v>
      </x:c>
      <x:c r="O76" s="185" t="n">
        <x:f>ROUND(L76-N76,2)</x:f>
        <x:v>9.15</x:v>
      </x:c>
      <x:c r="P76" s="166" t="str">
        <x:v>支付宝</x:v>
      </x:c>
      <x:c r="Q76" s="169" t="str"/>
    </x:row>
    <x:row r="77">
      <x:c r="A77" s="165" t="n">
        <x:v>46249</x:v>
      </x:c>
      <x:c r="B77" s="166" t="str">
        <x:v>S003</x:v>
      </x:c>
      <x:c r="C77" s="182" t="str">
        <x:f>IFERROR(INDEX('门店主数据'!$B$5:$B$8,MATCH(B77,'门店主数据'!$A$5:$A$8,0)),"")</x:f>
        <x:v>大学城店</x:v>
      </x:c>
      <x:c r="D77" s="166" t="str">
        <x:v>P001</x:v>
      </x:c>
      <x:c r="E77" s="182" t="str">
        <x:f>IFERROR(INDEX('商品主数据'!$B$5:$B$16,MATCH(D77,'商品主数据'!$A$5:$A$16,0)),"")</x:f>
        <x:v>浓缩咖啡</x:v>
      </x:c>
      <x:c r="F77" s="182" t="str">
        <x:f>IFERROR(INDEX('商品主数据'!$C$5:$C$16,MATCH(D77,'商品主数据'!$A$5:$A$16,0)),"")</x:f>
        <x:v>咖啡</x:v>
      </x:c>
      <x:c r="G77" s="185" t="n">
        <x:f>IFERROR(INDEX('商品主数据'!$E$5:$E$16,MATCH(D77,'商品主数据'!$A$5:$A$16,0)),"")</x:f>
        <x:v>22</x:v>
      </x:c>
      <x:c r="H77" s="167" t="n">
        <x:v>5</x:v>
      </x:c>
      <x:c r="I77" s="167" t="n">
        <x:v>6</x:v>
      </x:c>
      <x:c r="J77" s="185" t="n">
        <x:f>ROUND(G77*I77,2)</x:f>
        <x:v>132</x:v>
      </x:c>
      <x:c r="K77" s="168" t="n">
        <x:v>3.96</x:v>
      </x:c>
      <x:c r="L77" s="185" t="n">
        <x:f>ROUND(J77-K77,2)</x:f>
        <x:v>128.04</x:v>
      </x:c>
      <x:c r="M77" s="185" t="n">
        <x:f>IFERROR(INDEX('商品主数据'!$F$5:$F$16,MATCH(D77,'商品主数据'!$A$5:$A$16,0)),"")</x:f>
        <x:v>5.5</x:v>
      </x:c>
      <x:c r="N77" s="185" t="n">
        <x:f>ROUND(M77*I77,2)</x:f>
        <x:v>33</x:v>
      </x:c>
      <x:c r="O77" s="185" t="n">
        <x:f>ROUND(L77-N77,2)</x:f>
        <x:v>95.04</x:v>
      </x:c>
      <x:c r="P77" s="166" t="str">
        <x:v>现金</x:v>
      </x:c>
      <x:c r="Q77" s="169" t="str"/>
    </x:row>
    <x:row r="78">
      <x:c r="A78" s="165" t="n">
        <x:v>46249</x:v>
      </x:c>
      <x:c r="B78" s="166" t="str">
        <x:v>S003</x:v>
      </x:c>
      <x:c r="C78" s="182" t="str">
        <x:f>IFERROR(INDEX('门店主数据'!$B$5:$B$8,MATCH(B78,'门店主数据'!$A$5:$A$8,0)),"")</x:f>
        <x:v>大学城店</x:v>
      </x:c>
      <x:c r="D78" s="166" t="str">
        <x:v>P002</x:v>
      </x:c>
      <x:c r="E78" s="182" t="str">
        <x:f>IFERROR(INDEX('商品主数据'!$B$5:$B$16,MATCH(D78,'商品主数据'!$A$5:$A$16,0)),"")</x:f>
        <x:v>美式咖啡</x:v>
      </x:c>
      <x:c r="F78" s="182" t="str">
        <x:f>IFERROR(INDEX('商品主数据'!$C$5:$C$16,MATCH(D78,'商品主数据'!$A$5:$A$16,0)),"")</x:f>
        <x:v>咖啡</x:v>
      </x:c>
      <x:c r="G78" s="185" t="n">
        <x:f>IFERROR(INDEX('商品主数据'!$E$5:$E$16,MATCH(D78,'商品主数据'!$A$5:$A$16,0)),"")</x:f>
        <x:v>26</x:v>
      </x:c>
      <x:c r="H78" s="167" t="n">
        <x:v>12</x:v>
      </x:c>
      <x:c r="I78" s="167" t="n">
        <x:v>15</x:v>
      </x:c>
      <x:c r="J78" s="185" t="n">
        <x:f>ROUND(G78*I78,2)</x:f>
        <x:v>390</x:v>
      </x:c>
      <x:c r="K78" s="168" t="n">
        <x:v>11.7</x:v>
      </x:c>
      <x:c r="L78" s="185" t="n">
        <x:f>ROUND(J78-K78,2)</x:f>
        <x:v>378.3</x:v>
      </x:c>
      <x:c r="M78" s="185" t="n">
        <x:f>IFERROR(INDEX('商品主数据'!$F$5:$F$16,MATCH(D78,'商品主数据'!$A$5:$A$16,0)),"")</x:f>
        <x:v>6</x:v>
      </x:c>
      <x:c r="N78" s="185" t="n">
        <x:f>ROUND(M78*I78,2)</x:f>
        <x:v>90</x:v>
      </x:c>
      <x:c r="O78" s="185" t="n">
        <x:f>ROUND(L78-N78,2)</x:f>
        <x:v>288.3</x:v>
      </x:c>
      <x:c r="P78" s="166" t="str">
        <x:v>微信支付</x:v>
      </x:c>
      <x:c r="Q78" s="169" t="str"/>
    </x:row>
    <x:row r="79">
      <x:c r="A79" s="165" t="n">
        <x:v>46249</x:v>
      </x:c>
      <x:c r="B79" s="166" t="str">
        <x:v>S003</x:v>
      </x:c>
      <x:c r="C79" s="182" t="str">
        <x:f>IFERROR(INDEX('门店主数据'!$B$5:$B$8,MATCH(B79,'门店主数据'!$A$5:$A$8,0)),"")</x:f>
        <x:v>大学城店</x:v>
      </x:c>
      <x:c r="D79" s="166" t="str">
        <x:v>P003</x:v>
      </x:c>
      <x:c r="E79" s="182" t="str">
        <x:f>IFERROR(INDEX('商品主数据'!$B$5:$B$16,MATCH(D79,'商品主数据'!$A$5:$A$16,0)),"")</x:f>
        <x:v>拿铁咖啡</x:v>
      </x:c>
      <x:c r="F79" s="182" t="str">
        <x:f>IFERROR(INDEX('商品主数据'!$C$5:$C$16,MATCH(D79,'商品主数据'!$A$5:$A$16,0)),"")</x:f>
        <x:v>咖啡</x:v>
      </x:c>
      <x:c r="G79" s="185" t="n">
        <x:f>IFERROR(INDEX('商品主数据'!$E$5:$E$16,MATCH(D79,'商品主数据'!$A$5:$A$16,0)),"")</x:f>
        <x:v>32</x:v>
      </x:c>
      <x:c r="H79" s="167" t="n">
        <x:v>10</x:v>
      </x:c>
      <x:c r="I79" s="167" t="n">
        <x:v>13</x:v>
      </x:c>
      <x:c r="J79" s="185" t="n">
        <x:f>ROUND(G79*I79,2)</x:f>
        <x:v>416</x:v>
      </x:c>
      <x:c r="K79" s="168" t="n">
        <x:v>33.28</x:v>
      </x:c>
      <x:c r="L79" s="185" t="n">
        <x:f>ROUND(J79-K79,2)</x:f>
        <x:v>382.72</x:v>
      </x:c>
      <x:c r="M79" s="185" t="n">
        <x:f>IFERROR(INDEX('商品主数据'!$F$5:$F$16,MATCH(D79,'商品主数据'!$A$5:$A$16,0)),"")</x:f>
        <x:v>8.5</x:v>
      </x:c>
      <x:c r="N79" s="185" t="n">
        <x:f>ROUND(M79*I79,2)</x:f>
        <x:v>110.5</x:v>
      </x:c>
      <x:c r="O79" s="185" t="n">
        <x:f>ROUND(L79-N79,2)</x:f>
        <x:v>272.22</x:v>
      </x:c>
      <x:c r="P79" s="166" t="str">
        <x:v>支付宝</x:v>
      </x:c>
      <x:c r="Q79" s="169" t="str"/>
    </x:row>
    <x:row r="80">
      <x:c r="A80" s="165" t="n">
        <x:v>46249</x:v>
      </x:c>
      <x:c r="B80" s="166" t="str">
        <x:v>S003</x:v>
      </x:c>
      <x:c r="C80" s="182" t="str">
        <x:f>IFERROR(INDEX('门店主数据'!$B$5:$B$8,MATCH(B80,'门店主数据'!$A$5:$A$8,0)),"")</x:f>
        <x:v>大学城店</x:v>
      </x:c>
      <x:c r="D80" s="166" t="str">
        <x:v>P004</x:v>
      </x:c>
      <x:c r="E80" s="182" t="str">
        <x:f>IFERROR(INDEX('商品主数据'!$B$5:$B$16,MATCH(D80,'商品主数据'!$A$5:$A$16,0)),"")</x:f>
        <x:v>卡布奇诺</x:v>
      </x:c>
      <x:c r="F80" s="182" t="str">
        <x:f>IFERROR(INDEX('商品主数据'!$C$5:$C$16,MATCH(D80,'商品主数据'!$A$5:$A$16,0)),"")</x:f>
        <x:v>咖啡</x:v>
      </x:c>
      <x:c r="G80" s="185" t="n">
        <x:f>IFERROR(INDEX('商品主数据'!$E$5:$E$16,MATCH(D80,'商品主数据'!$A$5:$A$16,0)),"")</x:f>
        <x:v>32</x:v>
      </x:c>
      <x:c r="H80" s="167" t="n">
        <x:v>5</x:v>
      </x:c>
      <x:c r="I80" s="167" t="n">
        <x:v>7</x:v>
      </x:c>
      <x:c r="J80" s="185" t="n">
        <x:f>ROUND(G80*I80,2)</x:f>
        <x:v>224</x:v>
      </x:c>
      <x:c r="K80" s="168" t="n">
        <x:v>6.72</x:v>
      </x:c>
      <x:c r="L80" s="185" t="n">
        <x:f>ROUND(J80-K80,2)</x:f>
        <x:v>217.28</x:v>
      </x:c>
      <x:c r="M80" s="185" t="n">
        <x:f>IFERROR(INDEX('商品主数据'!$F$5:$F$16,MATCH(D80,'商品主数据'!$A$5:$A$16,0)),"")</x:f>
        <x:v>8.5</x:v>
      </x:c>
      <x:c r="N80" s="185" t="n">
        <x:f>ROUND(M80*I80,2)</x:f>
        <x:v>59.5</x:v>
      </x:c>
      <x:c r="O80" s="185" t="n">
        <x:f>ROUND(L80-N80,2)</x:f>
        <x:v>157.78</x:v>
      </x:c>
      <x:c r="P80" s="166" t="str">
        <x:v>银行卡</x:v>
      </x:c>
      <x:c r="Q80" s="169" t="str"/>
    </x:row>
    <x:row r="81">
      <x:c r="A81" s="165" t="n">
        <x:v>46249</x:v>
      </x:c>
      <x:c r="B81" s="166" t="str">
        <x:v>S003</x:v>
      </x:c>
      <x:c r="C81" s="182" t="str">
        <x:f>IFERROR(INDEX('门店主数据'!$B$5:$B$8,MATCH(B81,'门店主数据'!$A$5:$A$8,0)),"")</x:f>
        <x:v>大学城店</x:v>
      </x:c>
      <x:c r="D81" s="166" t="str">
        <x:v>P005</x:v>
      </x:c>
      <x:c r="E81" s="182" t="str">
        <x:f>IFERROR(INDEX('商品主数据'!$B$5:$B$16,MATCH(D81,'商品主数据'!$A$5:$A$16,0)),"")</x:f>
        <x:v>摩卡咖啡</x:v>
      </x:c>
      <x:c r="F81" s="182" t="str">
        <x:f>IFERROR(INDEX('商品主数据'!$C$5:$C$16,MATCH(D81,'商品主数据'!$A$5:$A$16,0)),"")</x:f>
        <x:v>咖啡</x:v>
      </x:c>
      <x:c r="G81" s="185" t="n">
        <x:f>IFERROR(INDEX('商品主数据'!$E$5:$E$16,MATCH(D81,'商品主数据'!$A$5:$A$16,0)),"")</x:f>
        <x:v>36</x:v>
      </x:c>
      <x:c r="H81" s="167" t="n">
        <x:v>3</x:v>
      </x:c>
      <x:c r="I81" s="167" t="n">
        <x:v>5</x:v>
      </x:c>
      <x:c r="J81" s="185" t="n">
        <x:f>ROUND(G81*I81,2)</x:f>
        <x:v>180</x:v>
      </x:c>
      <x:c r="K81" s="168" t="n">
        <x:v>5.4</x:v>
      </x:c>
      <x:c r="L81" s="185" t="n">
        <x:f>ROUND(J81-K81,2)</x:f>
        <x:v>174.6</x:v>
      </x:c>
      <x:c r="M81" s="185" t="n">
        <x:f>IFERROR(INDEX('商品主数据'!$F$5:$F$16,MATCH(D81,'商品主数据'!$A$5:$A$16,0)),"")</x:f>
        <x:v>10</x:v>
      </x:c>
      <x:c r="N81" s="185" t="n">
        <x:f>ROUND(M81*I81,2)</x:f>
        <x:v>50</x:v>
      </x:c>
      <x:c r="O81" s="185" t="n">
        <x:f>ROUND(L81-N81,2)</x:f>
        <x:v>124.6</x:v>
      </x:c>
      <x:c r="P81" s="166" t="str">
        <x:v>现金</x:v>
      </x:c>
      <x:c r="Q81" s="169" t="str"/>
    </x:row>
    <x:row r="82">
      <x:c r="A82" s="165" t="n">
        <x:v>46249</x:v>
      </x:c>
      <x:c r="B82" s="166" t="str">
        <x:v>S003</x:v>
      </x:c>
      <x:c r="C82" s="182" t="str">
        <x:f>IFERROR(INDEX('门店主数据'!$B$5:$B$8,MATCH(B82,'门店主数据'!$A$5:$A$8,0)),"")</x:f>
        <x:v>大学城店</x:v>
      </x:c>
      <x:c r="D82" s="166" t="str">
        <x:v>P006</x:v>
      </x:c>
      <x:c r="E82" s="182" t="str">
        <x:f>IFERROR(INDEX('商品主数据'!$B$5:$B$16,MATCH(D82,'商品主数据'!$A$5:$A$16,0)),"")</x:f>
        <x:v>冷萃咖啡</x:v>
      </x:c>
      <x:c r="F82" s="182" t="str">
        <x:f>IFERROR(INDEX('商品主数据'!$C$5:$C$16,MATCH(D82,'商品主数据'!$A$5:$A$16,0)),"")</x:f>
        <x:v>咖啡</x:v>
      </x:c>
      <x:c r="G82" s="185" t="n">
        <x:f>IFERROR(INDEX('商品主数据'!$E$5:$E$16,MATCH(D82,'商品主数据'!$A$5:$A$16,0)),"")</x:f>
        <x:v>34</x:v>
      </x:c>
      <x:c r="H82" s="167" t="n">
        <x:v>5</x:v>
      </x:c>
      <x:c r="I82" s="167" t="n">
        <x:v>7</x:v>
      </x:c>
      <x:c r="J82" s="185" t="n">
        <x:f>ROUND(G82*I82,2)</x:f>
        <x:v>238</x:v>
      </x:c>
      <x:c r="K82" s="168" t="n">
        <x:v>7.14</x:v>
      </x:c>
      <x:c r="L82" s="185" t="n">
        <x:f>ROUND(J82-K82,2)</x:f>
        <x:v>230.86</x:v>
      </x:c>
      <x:c r="M82" s="185" t="n">
        <x:f>IFERROR(INDEX('商品主数据'!$F$5:$F$16,MATCH(D82,'商品主数据'!$A$5:$A$16,0)),"")</x:f>
        <x:v>9.5</x:v>
      </x:c>
      <x:c r="N82" s="185" t="n">
        <x:f>ROUND(M82*I82,2)</x:f>
        <x:v>66.5</x:v>
      </x:c>
      <x:c r="O82" s="185" t="n">
        <x:f>ROUND(L82-N82,2)</x:f>
        <x:v>164.36</x:v>
      </x:c>
      <x:c r="P82" s="166" t="str">
        <x:v>微信支付</x:v>
      </x:c>
      <x:c r="Q82" s="169" t="str"/>
    </x:row>
    <x:row r="83">
      <x:c r="A83" s="165" t="n">
        <x:v>46249</x:v>
      </x:c>
      <x:c r="B83" s="166" t="str">
        <x:v>S003</x:v>
      </x:c>
      <x:c r="C83" s="182" t="str">
        <x:f>IFERROR(INDEX('门店主数据'!$B$5:$B$8,MATCH(B83,'门店主数据'!$A$5:$A$8,0)),"")</x:f>
        <x:v>大学城店</x:v>
      </x:c>
      <x:c r="D83" s="166" t="str">
        <x:v>P007</x:v>
      </x:c>
      <x:c r="E83" s="182" t="str">
        <x:f>IFERROR(INDEX('商品主数据'!$B$5:$B$16,MATCH(D83,'商品主数据'!$A$5:$A$16,0)),"")</x:f>
        <x:v>抹茶拿铁</x:v>
      </x:c>
      <x:c r="F83" s="182" t="str">
        <x:f>IFERROR(INDEX('商品主数据'!$C$5:$C$16,MATCH(D83,'商品主数据'!$A$5:$A$16,0)),"")</x:f>
        <x:v>茶饮</x:v>
      </x:c>
      <x:c r="G83" s="185" t="n">
        <x:f>IFERROR(INDEX('商品主数据'!$E$5:$E$16,MATCH(D83,'商品主数据'!$A$5:$A$16,0)),"")</x:f>
        <x:v>34</x:v>
      </x:c>
      <x:c r="H83" s="167" t="n">
        <x:v>2</x:v>
      </x:c>
      <x:c r="I83" s="167" t="n">
        <x:v>3</x:v>
      </x:c>
      <x:c r="J83" s="185" t="n">
        <x:f>ROUND(G83*I83,2)</x:f>
        <x:v>102</x:v>
      </x:c>
      <x:c r="K83" s="168" t="n">
        <x:v>3.06</x:v>
      </x:c>
      <x:c r="L83" s="185" t="n">
        <x:f>ROUND(J83-K83,2)</x:f>
        <x:v>98.94</x:v>
      </x:c>
      <x:c r="M83" s="185" t="n">
        <x:f>IFERROR(INDEX('商品主数据'!$F$5:$F$16,MATCH(D83,'商品主数据'!$A$5:$A$16,0)),"")</x:f>
        <x:v>9</x:v>
      </x:c>
      <x:c r="N83" s="185" t="n">
        <x:f>ROUND(M83*I83,2)</x:f>
        <x:v>27</x:v>
      </x:c>
      <x:c r="O83" s="185" t="n">
        <x:f>ROUND(L83-N83,2)</x:f>
        <x:v>71.94</x:v>
      </x:c>
      <x:c r="P83" s="166" t="str">
        <x:v>支付宝</x:v>
      </x:c>
      <x:c r="Q83" s="169" t="str"/>
    </x:row>
    <x:row r="84">
      <x:c r="A84" s="165" t="n">
        <x:v>46249</x:v>
      </x:c>
      <x:c r="B84" s="166" t="str">
        <x:v>S003</x:v>
      </x:c>
      <x:c r="C84" s="182" t="str">
        <x:f>IFERROR(INDEX('门店主数据'!$B$5:$B$8,MATCH(B84,'门店主数据'!$A$5:$A$8,0)),"")</x:f>
        <x:v>大学城店</x:v>
      </x:c>
      <x:c r="D84" s="166" t="str">
        <x:v>P008</x:v>
      </x:c>
      <x:c r="E84" s="182" t="str">
        <x:f>IFERROR(INDEX('商品主数据'!$B$5:$B$16,MATCH(D84,'商品主数据'!$A$5:$A$16,0)),"")</x:f>
        <x:v>海盐芝士蛋糕</x:v>
      </x:c>
      <x:c r="F84" s="182" t="str">
        <x:f>IFERROR(INDEX('商品主数据'!$C$5:$C$16,MATCH(D84,'商品主数据'!$A$5:$A$16,0)),"")</x:f>
        <x:v>烘焙</x:v>
      </x:c>
      <x:c r="G84" s="185" t="n">
        <x:f>IFERROR(INDEX('商品主数据'!$E$5:$E$16,MATCH(D84,'商品主数据'!$A$5:$A$16,0)),"")</x:f>
        <x:v>38</x:v>
      </x:c>
      <x:c r="H84" s="167" t="n">
        <x:v>1</x:v>
      </x:c>
      <x:c r="I84" s="167" t="n">
        <x:v>3</x:v>
      </x:c>
      <x:c r="J84" s="185" t="n">
        <x:f>ROUND(G84*I84,2)</x:f>
        <x:v>114</x:v>
      </x:c>
      <x:c r="K84" s="168" t="n">
        <x:v>9.12</x:v>
      </x:c>
      <x:c r="L84" s="185" t="n">
        <x:f>ROUND(J84-K84,2)</x:f>
        <x:v>104.88</x:v>
      </x:c>
      <x:c r="M84" s="185" t="n">
        <x:f>IFERROR(INDEX('商品主数据'!$F$5:$F$16,MATCH(D84,'商品主数据'!$A$5:$A$16,0)),"")</x:f>
        <x:v>16</x:v>
      </x:c>
      <x:c r="N84" s="185" t="n">
        <x:f>ROUND(M84*I84,2)</x:f>
        <x:v>48</x:v>
      </x:c>
      <x:c r="O84" s="185" t="n">
        <x:f>ROUND(L84-N84,2)</x:f>
        <x:v>56.88</x:v>
      </x:c>
      <x:c r="P84" s="166" t="str">
        <x:v>银行卡</x:v>
      </x:c>
      <x:c r="Q84" s="169" t="str"/>
    </x:row>
    <x:row r="85">
      <x:c r="A85" s="165" t="n">
        <x:v>46249</x:v>
      </x:c>
      <x:c r="B85" s="166" t="str">
        <x:v>S003</x:v>
      </x:c>
      <x:c r="C85" s="182" t="str">
        <x:f>IFERROR(INDEX('门店主数据'!$B$5:$B$8,MATCH(B85,'门店主数据'!$A$5:$A$8,0)),"")</x:f>
        <x:v>大学城店</x:v>
      </x:c>
      <x:c r="D85" s="166" t="str">
        <x:v>P009</x:v>
      </x:c>
      <x:c r="E85" s="182" t="str">
        <x:f>IFERROR(INDEX('商品主数据'!$B$5:$B$16,MATCH(D85,'商品主数据'!$A$5:$A$16,0)),"")</x:f>
        <x:v>黄油可颂</x:v>
      </x:c>
      <x:c r="F85" s="182" t="str">
        <x:f>IFERROR(INDEX('商品主数据'!$C$5:$C$16,MATCH(D85,'商品主数据'!$A$5:$A$16,0)),"")</x:f>
        <x:v>烘焙</x:v>
      </x:c>
      <x:c r="G85" s="185" t="n">
        <x:f>IFERROR(INDEX('商品主数据'!$E$5:$E$16,MATCH(D85,'商品主数据'!$A$5:$A$16,0)),"")</x:f>
        <x:v>18</x:v>
      </x:c>
      <x:c r="H85" s="167" t="n">
        <x:v>7</x:v>
      </x:c>
      <x:c r="I85" s="167" t="n">
        <x:v>10</x:v>
      </x:c>
      <x:c r="J85" s="185" t="n">
        <x:f>ROUND(G85*I85,2)</x:f>
        <x:v>180</x:v>
      </x:c>
      <x:c r="K85" s="168" t="n">
        <x:v>5.4</x:v>
      </x:c>
      <x:c r="L85" s="185" t="n">
        <x:f>ROUND(J85-K85,2)</x:f>
        <x:v>174.6</x:v>
      </x:c>
      <x:c r="M85" s="185" t="n">
        <x:f>IFERROR(INDEX('商品主数据'!$F$5:$F$16,MATCH(D85,'商品主数据'!$A$5:$A$16,0)),"")</x:f>
        <x:v>6</x:v>
      </x:c>
      <x:c r="N85" s="185" t="n">
        <x:f>ROUND(M85*I85,2)</x:f>
        <x:v>60</x:v>
      </x:c>
      <x:c r="O85" s="185" t="n">
        <x:f>ROUND(L85-N85,2)</x:f>
        <x:v>114.6</x:v>
      </x:c>
      <x:c r="P85" s="166" t="str">
        <x:v>现金</x:v>
      </x:c>
      <x:c r="Q85" s="169" t="str"/>
    </x:row>
    <x:row r="86">
      <x:c r="A86" s="165" t="n">
        <x:v>46249</x:v>
      </x:c>
      <x:c r="B86" s="166" t="str">
        <x:v>S003</x:v>
      </x:c>
      <x:c r="C86" s="182" t="str">
        <x:f>IFERROR(INDEX('门店主数据'!$B$5:$B$8,MATCH(B86,'门店主数据'!$A$5:$A$8,0)),"")</x:f>
        <x:v>大学城店</x:v>
      </x:c>
      <x:c r="D86" s="166" t="str">
        <x:v>P010</x:v>
      </x:c>
      <x:c r="E86" s="182" t="str">
        <x:f>IFERROR(INDEX('商品主数据'!$B$5:$B$16,MATCH(D86,'商品主数据'!$A$5:$A$16,0)),"")</x:f>
        <x:v>蓝莓玛芬</x:v>
      </x:c>
      <x:c r="F86" s="182" t="str">
        <x:f>IFERROR(INDEX('商品主数据'!$C$5:$C$16,MATCH(D86,'商品主数据'!$A$5:$A$16,0)),"")</x:f>
        <x:v>烘焙</x:v>
      </x:c>
      <x:c r="G86" s="185" t="n">
        <x:f>IFERROR(INDEX('商品主数据'!$E$5:$E$16,MATCH(D86,'商品主数据'!$A$5:$A$16,0)),"")</x:f>
        <x:v>16</x:v>
      </x:c>
      <x:c r="H86" s="167" t="n">
        <x:v>3</x:v>
      </x:c>
      <x:c r="I86" s="167" t="n">
        <x:v>5</x:v>
      </x:c>
      <x:c r="J86" s="185" t="n">
        <x:f>ROUND(G86*I86,2)</x:f>
        <x:v>80</x:v>
      </x:c>
      <x:c r="K86" s="168" t="n">
        <x:v>2.4</x:v>
      </x:c>
      <x:c r="L86" s="185" t="n">
        <x:f>ROUND(J86-K86,2)</x:f>
        <x:v>77.6</x:v>
      </x:c>
      <x:c r="M86" s="185" t="n">
        <x:f>IFERROR(INDEX('商品主数据'!$F$5:$F$16,MATCH(D86,'商品主数据'!$A$5:$A$16,0)),"")</x:f>
        <x:v>5</x:v>
      </x:c>
      <x:c r="N86" s="185" t="n">
        <x:f>ROUND(M86*I86,2)</x:f>
        <x:v>25</x:v>
      </x:c>
      <x:c r="O86" s="185" t="n">
        <x:f>ROUND(L86-N86,2)</x:f>
        <x:v>52.6</x:v>
      </x:c>
      <x:c r="P86" s="166" t="str">
        <x:v>微信支付</x:v>
      </x:c>
      <x:c r="Q86" s="169" t="str"/>
    </x:row>
    <x:row r="87">
      <x:c r="A87" s="165" t="n">
        <x:v>46249</x:v>
      </x:c>
      <x:c r="B87" s="166" t="str">
        <x:v>S003</x:v>
      </x:c>
      <x:c r="C87" s="182" t="str">
        <x:f>IFERROR(INDEX('门店主数据'!$B$5:$B$8,MATCH(B87,'门店主数据'!$A$5:$A$8,0)),"")</x:f>
        <x:v>大学城店</x:v>
      </x:c>
      <x:c r="D87" s="166" t="str">
        <x:v>P011</x:v>
      </x:c>
      <x:c r="E87" s="182" t="str">
        <x:f>IFERROR(INDEX('商品主数据'!$B$5:$B$16,MATCH(D87,'商品主数据'!$A$5:$A$16,0)),"")</x:f>
        <x:v>火腿芝士三明治</x:v>
      </x:c>
      <x:c r="F87" s="182" t="str">
        <x:f>IFERROR(INDEX('商品主数据'!$C$5:$C$16,MATCH(D87,'商品主数据'!$A$5:$A$16,0)),"")</x:f>
        <x:v>轻食</x:v>
      </x:c>
      <x:c r="G87" s="185" t="n">
        <x:f>IFERROR(INDEX('商品主数据'!$E$5:$E$16,MATCH(D87,'商品主数据'!$A$5:$A$16,0)),"")</x:f>
        <x:v>32</x:v>
      </x:c>
      <x:c r="H87" s="167" t="n">
        <x:v>2</x:v>
      </x:c>
      <x:c r="I87" s="167" t="n">
        <x:v>4</x:v>
      </x:c>
      <x:c r="J87" s="185" t="n">
        <x:f>ROUND(G87*I87,2)</x:f>
        <x:v>128</x:v>
      </x:c>
      <x:c r="K87" s="168" t="n">
        <x:v>3.84</x:v>
      </x:c>
      <x:c r="L87" s="185" t="n">
        <x:f>ROUND(J87-K87,2)</x:f>
        <x:v>124.16</x:v>
      </x:c>
      <x:c r="M87" s="185" t="n">
        <x:f>IFERROR(INDEX('商品主数据'!$F$5:$F$16,MATCH(D87,'商品主数据'!$A$5:$A$16,0)),"")</x:f>
        <x:v>13</x:v>
      </x:c>
      <x:c r="N87" s="185" t="n">
        <x:f>ROUND(M87*I87,2)</x:f>
        <x:v>52</x:v>
      </x:c>
      <x:c r="O87" s="185" t="n">
        <x:f>ROUND(L87-N87,2)</x:f>
        <x:v>72.16</x:v>
      </x:c>
      <x:c r="P87" s="166" t="str">
        <x:v>支付宝</x:v>
      </x:c>
      <x:c r="Q87" s="169" t="str"/>
    </x:row>
    <x:row r="88">
      <x:c r="A88" s="165" t="n">
        <x:v>46249</x:v>
      </x:c>
      <x:c r="B88" s="166" t="str">
        <x:v>S003</x:v>
      </x:c>
      <x:c r="C88" s="182" t="str">
        <x:f>IFERROR(INDEX('门店主数据'!$B$5:$B$8,MATCH(B88,'门店主数据'!$A$5:$A$8,0)),"")</x:f>
        <x:v>大学城店</x:v>
      </x:c>
      <x:c r="D88" s="166" t="str">
        <x:v>P012</x:v>
      </x:c>
      <x:c r="E88" s="182" t="str">
        <x:f>IFERROR(INDEX('商品主数据'!$B$5:$B$16,MATCH(D88,'商品主数据'!$A$5:$A$16,0)),"")</x:f>
        <x:v>燕麦奶加料</x:v>
      </x:c>
      <x:c r="F88" s="182" t="str">
        <x:f>IFERROR(INDEX('商品主数据'!$C$5:$C$16,MATCH(D88,'商品主数据'!$A$5:$A$16,0)),"")</x:f>
        <x:v>加料</x:v>
      </x:c>
      <x:c r="G88" s="185" t="n">
        <x:f>IFERROR(INDEX('商品主数据'!$E$5:$E$16,MATCH(D88,'商品主数据'!$A$5:$A$16,0)),"")</x:f>
        <x:v>5</x:v>
      </x:c>
      <x:c r="H88" s="167" t="n">
        <x:v>1</x:v>
      </x:c>
      <x:c r="I88" s="167" t="n">
        <x:v>4</x:v>
      </x:c>
      <x:c r="J88" s="185" t="n">
        <x:f>ROUND(G88*I88,2)</x:f>
        <x:v>20</x:v>
      </x:c>
      <x:c r="K88" s="168" t="n">
        <x:v>0.6</x:v>
      </x:c>
      <x:c r="L88" s="185" t="n">
        <x:f>ROUND(J88-K88,2)</x:f>
        <x:v>19.4</x:v>
      </x:c>
      <x:c r="M88" s="185" t="n">
        <x:f>IFERROR(INDEX('商品主数据'!$F$5:$F$16,MATCH(D88,'商品主数据'!$A$5:$A$16,0)),"")</x:f>
        <x:v>1.8</x:v>
      </x:c>
      <x:c r="N88" s="185" t="n">
        <x:f>ROUND(M88*I88,2)</x:f>
        <x:v>7.2</x:v>
      </x:c>
      <x:c r="O88" s="185" t="n">
        <x:f>ROUND(L88-N88,2)</x:f>
        <x:v>12.2</x:v>
      </x:c>
      <x:c r="P88" s="166" t="str">
        <x:v>银行卡</x:v>
      </x:c>
      <x:c r="Q88" s="169" t="str"/>
    </x:row>
    <x:row r="89">
      <x:c r="A89" s="165" t="n">
        <x:v>46249</x:v>
      </x:c>
      <x:c r="B89" s="166" t="str">
        <x:v>S004</x:v>
      </x:c>
      <x:c r="C89" s="182" t="str">
        <x:f>IFERROR(INDEX('门店主数据'!$B$5:$B$8,MATCH(B89,'门店主数据'!$A$5:$A$8,0)),"")</x:f>
        <x:v>机场店</x:v>
      </x:c>
      <x:c r="D89" s="166" t="str">
        <x:v>P001</x:v>
      </x:c>
      <x:c r="E89" s="182" t="str">
        <x:f>IFERROR(INDEX('商品主数据'!$B$5:$B$16,MATCH(D89,'商品主数据'!$A$5:$A$16,0)),"")</x:f>
        <x:v>浓缩咖啡</x:v>
      </x:c>
      <x:c r="F89" s="182" t="str">
        <x:f>IFERROR(INDEX('商品主数据'!$C$5:$C$16,MATCH(D89,'商品主数据'!$A$5:$A$16,0)),"")</x:f>
        <x:v>咖啡</x:v>
      </x:c>
      <x:c r="G89" s="185" t="n">
        <x:f>IFERROR(INDEX('商品主数据'!$E$5:$E$16,MATCH(D89,'商品主数据'!$A$5:$A$16,0)),"")</x:f>
        <x:v>22</x:v>
      </x:c>
      <x:c r="H89" s="167" t="n">
        <x:v>8</x:v>
      </x:c>
      <x:c r="I89" s="167" t="n">
        <x:v>10</x:v>
      </x:c>
      <x:c r="J89" s="185" t="n">
        <x:f>ROUND(G89*I89,2)</x:f>
        <x:v>220</x:v>
      </x:c>
      <x:c r="K89" s="168" t="n">
        <x:v>6.6</x:v>
      </x:c>
      <x:c r="L89" s="185" t="n">
        <x:f>ROUND(J89-K89,2)</x:f>
        <x:v>213.4</x:v>
      </x:c>
      <x:c r="M89" s="185" t="n">
        <x:f>IFERROR(INDEX('商品主数据'!$F$5:$F$16,MATCH(D89,'商品主数据'!$A$5:$A$16,0)),"")</x:f>
        <x:v>5.5</x:v>
      </x:c>
      <x:c r="N89" s="185" t="n">
        <x:f>ROUND(M89*I89,2)</x:f>
        <x:v>55</x:v>
      </x:c>
      <x:c r="O89" s="185" t="n">
        <x:f>ROUND(L89-N89,2)</x:f>
        <x:v>158.4</x:v>
      </x:c>
      <x:c r="P89" s="166" t="str">
        <x:v>微信支付</x:v>
      </x:c>
      <x:c r="Q89" s="169" t="str"/>
    </x:row>
    <x:row r="90">
      <x:c r="A90" s="165" t="n">
        <x:v>46249</x:v>
      </x:c>
      <x:c r="B90" s="166" t="str">
        <x:v>S004</x:v>
      </x:c>
      <x:c r="C90" s="182" t="str">
        <x:f>IFERROR(INDEX('门店主数据'!$B$5:$B$8,MATCH(B90,'门店主数据'!$A$5:$A$8,0)),"")</x:f>
        <x:v>机场店</x:v>
      </x:c>
      <x:c r="D90" s="166" t="str">
        <x:v>P002</x:v>
      </x:c>
      <x:c r="E90" s="182" t="str">
        <x:f>IFERROR(INDEX('商品主数据'!$B$5:$B$16,MATCH(D90,'商品主数据'!$A$5:$A$16,0)),"")</x:f>
        <x:v>美式咖啡</x:v>
      </x:c>
      <x:c r="F90" s="182" t="str">
        <x:f>IFERROR(INDEX('商品主数据'!$C$5:$C$16,MATCH(D90,'商品主数据'!$A$5:$A$16,0)),"")</x:f>
        <x:v>咖啡</x:v>
      </x:c>
      <x:c r="G90" s="185" t="n">
        <x:f>IFERROR(INDEX('商品主数据'!$E$5:$E$16,MATCH(D90,'商品主数据'!$A$5:$A$16,0)),"")</x:f>
        <x:v>26</x:v>
      </x:c>
      <x:c r="H90" s="167" t="n">
        <x:v>20</x:v>
      </x:c>
      <x:c r="I90" s="167" t="n">
        <x:v>24</x:v>
      </x:c>
      <x:c r="J90" s="185" t="n">
        <x:f>ROUND(G90*I90,2)</x:f>
        <x:v>624</x:v>
      </x:c>
      <x:c r="K90" s="168" t="n">
        <x:v>49.92</x:v>
      </x:c>
      <x:c r="L90" s="185" t="n">
        <x:f>ROUND(J90-K90,2)</x:f>
        <x:v>574.08</x:v>
      </x:c>
      <x:c r="M90" s="185" t="n">
        <x:f>IFERROR(INDEX('商品主数据'!$F$5:$F$16,MATCH(D90,'商品主数据'!$A$5:$A$16,0)),"")</x:f>
        <x:v>6</x:v>
      </x:c>
      <x:c r="N90" s="185" t="n">
        <x:f>ROUND(M90*I90,2)</x:f>
        <x:v>144</x:v>
      </x:c>
      <x:c r="O90" s="185" t="n">
        <x:f>ROUND(L90-N90,2)</x:f>
        <x:v>430.08</x:v>
      </x:c>
      <x:c r="P90" s="166" t="str">
        <x:v>支付宝</x:v>
      </x:c>
      <x:c r="Q90" s="169" t="str"/>
    </x:row>
    <x:row r="91">
      <x:c r="A91" s="165" t="n">
        <x:v>46249</x:v>
      </x:c>
      <x:c r="B91" s="166" t="str">
        <x:v>S004</x:v>
      </x:c>
      <x:c r="C91" s="182" t="str">
        <x:f>IFERROR(INDEX('门店主数据'!$B$5:$B$8,MATCH(B91,'门店主数据'!$A$5:$A$8,0)),"")</x:f>
        <x:v>机场店</x:v>
      </x:c>
      <x:c r="D91" s="166" t="str">
        <x:v>P003</x:v>
      </x:c>
      <x:c r="E91" s="182" t="str">
        <x:f>IFERROR(INDEX('商品主数据'!$B$5:$B$16,MATCH(D91,'商品主数据'!$A$5:$A$16,0)),"")</x:f>
        <x:v>拿铁咖啡</x:v>
      </x:c>
      <x:c r="F91" s="182" t="str">
        <x:f>IFERROR(INDEX('商品主数据'!$C$5:$C$16,MATCH(D91,'商品主数据'!$A$5:$A$16,0)),"")</x:f>
        <x:v>咖啡</x:v>
      </x:c>
      <x:c r="G91" s="185" t="n">
        <x:f>IFERROR(INDEX('商品主数据'!$E$5:$E$16,MATCH(D91,'商品主数据'!$A$5:$A$16,0)),"")</x:f>
        <x:v>32</x:v>
      </x:c>
      <x:c r="H91" s="167" t="n">
        <x:v>13</x:v>
      </x:c>
      <x:c r="I91" s="167" t="n">
        <x:v>17</x:v>
      </x:c>
      <x:c r="J91" s="185" t="n">
        <x:f>ROUND(G91*I91,2)</x:f>
        <x:v>544</x:v>
      </x:c>
      <x:c r="K91" s="168" t="n">
        <x:v>16.32</x:v>
      </x:c>
      <x:c r="L91" s="185" t="n">
        <x:f>ROUND(J91-K91,2)</x:f>
        <x:v>527.68</x:v>
      </x:c>
      <x:c r="M91" s="185" t="n">
        <x:f>IFERROR(INDEX('商品主数据'!$F$5:$F$16,MATCH(D91,'商品主数据'!$A$5:$A$16,0)),"")</x:f>
        <x:v>8.5</x:v>
      </x:c>
      <x:c r="N91" s="185" t="n">
        <x:f>ROUND(M91*I91,2)</x:f>
        <x:v>144.5</x:v>
      </x:c>
      <x:c r="O91" s="185" t="n">
        <x:f>ROUND(L91-N91,2)</x:f>
        <x:v>383.18</x:v>
      </x:c>
      <x:c r="P91" s="166" t="str">
        <x:v>银行卡</x:v>
      </x:c>
      <x:c r="Q91" s="169" t="str"/>
    </x:row>
    <x:row r="92">
      <x:c r="A92" s="165" t="n">
        <x:v>46249</x:v>
      </x:c>
      <x:c r="B92" s="166" t="str">
        <x:v>S004</x:v>
      </x:c>
      <x:c r="C92" s="182" t="str">
        <x:f>IFERROR(INDEX('门店主数据'!$B$5:$B$8,MATCH(B92,'门店主数据'!$A$5:$A$8,0)),"")</x:f>
        <x:v>机场店</x:v>
      </x:c>
      <x:c r="D92" s="166" t="str">
        <x:v>P004</x:v>
      </x:c>
      <x:c r="E92" s="182" t="str">
        <x:f>IFERROR(INDEX('商品主数据'!$B$5:$B$16,MATCH(D92,'商品主数据'!$A$5:$A$16,0)),"")</x:f>
        <x:v>卡布奇诺</x:v>
      </x:c>
      <x:c r="F92" s="182" t="str">
        <x:f>IFERROR(INDEX('商品主数据'!$C$5:$C$16,MATCH(D92,'商品主数据'!$A$5:$A$16,0)),"")</x:f>
        <x:v>咖啡</x:v>
      </x:c>
      <x:c r="G92" s="185" t="n">
        <x:f>IFERROR(INDEX('商品主数据'!$E$5:$E$16,MATCH(D92,'商品主数据'!$A$5:$A$16,0)),"")</x:f>
        <x:v>32</x:v>
      </x:c>
      <x:c r="H92" s="167" t="n">
        <x:v>8</x:v>
      </x:c>
      <x:c r="I92" s="167" t="n">
        <x:v>11</x:v>
      </x:c>
      <x:c r="J92" s="185" t="n">
        <x:f>ROUND(G92*I92,2)</x:f>
        <x:v>352</x:v>
      </x:c>
      <x:c r="K92" s="168" t="n">
        <x:v>10.56</x:v>
      </x:c>
      <x:c r="L92" s="185" t="n">
        <x:f>ROUND(J92-K92,2)</x:f>
        <x:v>341.44</x:v>
      </x:c>
      <x:c r="M92" s="185" t="n">
        <x:f>IFERROR(INDEX('商品主数据'!$F$5:$F$16,MATCH(D92,'商品主数据'!$A$5:$A$16,0)),"")</x:f>
        <x:v>8.5</x:v>
      </x:c>
      <x:c r="N92" s="185" t="n">
        <x:f>ROUND(M92*I92,2)</x:f>
        <x:v>93.5</x:v>
      </x:c>
      <x:c r="O92" s="185" t="n">
        <x:f>ROUND(L92-N92,2)</x:f>
        <x:v>247.94</x:v>
      </x:c>
      <x:c r="P92" s="166" t="str">
        <x:v>现金</x:v>
      </x:c>
      <x:c r="Q92" s="169" t="str"/>
    </x:row>
    <x:row r="93">
      <x:c r="A93" s="165" t="n">
        <x:v>46249</x:v>
      </x:c>
      <x:c r="B93" s="166" t="str">
        <x:v>S004</x:v>
      </x:c>
      <x:c r="C93" s="182" t="str">
        <x:f>IFERROR(INDEX('门店主数据'!$B$5:$B$8,MATCH(B93,'门店主数据'!$A$5:$A$8,0)),"")</x:f>
        <x:v>机场店</x:v>
      </x:c>
      <x:c r="D93" s="166" t="str">
        <x:v>P005</x:v>
      </x:c>
      <x:c r="E93" s="182" t="str">
        <x:f>IFERROR(INDEX('商品主数据'!$B$5:$B$16,MATCH(D93,'商品主数据'!$A$5:$A$16,0)),"")</x:f>
        <x:v>摩卡咖啡</x:v>
      </x:c>
      <x:c r="F93" s="182" t="str">
        <x:f>IFERROR(INDEX('商品主数据'!$C$5:$C$16,MATCH(D93,'商品主数据'!$A$5:$A$16,0)),"")</x:f>
        <x:v>咖啡</x:v>
      </x:c>
      <x:c r="G93" s="185" t="n">
        <x:f>IFERROR(INDEX('商品主数据'!$E$5:$E$16,MATCH(D93,'商品主数据'!$A$5:$A$16,0)),"")</x:f>
        <x:v>36</x:v>
      </x:c>
      <x:c r="H93" s="167" t="n">
        <x:v>6</x:v>
      </x:c>
      <x:c r="I93" s="167" t="n">
        <x:v>9</x:v>
      </x:c>
      <x:c r="J93" s="185" t="n">
        <x:f>ROUND(G93*I93,2)</x:f>
        <x:v>324</x:v>
      </x:c>
      <x:c r="K93" s="168" t="n">
        <x:v>9.72</x:v>
      </x:c>
      <x:c r="L93" s="185" t="n">
        <x:f>ROUND(J93-K93,2)</x:f>
        <x:v>314.28</x:v>
      </x:c>
      <x:c r="M93" s="185" t="n">
        <x:f>IFERROR(INDEX('商品主数据'!$F$5:$F$16,MATCH(D93,'商品主数据'!$A$5:$A$16,0)),"")</x:f>
        <x:v>10</x:v>
      </x:c>
      <x:c r="N93" s="185" t="n">
        <x:f>ROUND(M93*I93,2)</x:f>
        <x:v>90</x:v>
      </x:c>
      <x:c r="O93" s="185" t="n">
        <x:f>ROUND(L93-N93,2)</x:f>
        <x:v>224.28</x:v>
      </x:c>
      <x:c r="P93" s="166" t="str">
        <x:v>微信支付</x:v>
      </x:c>
      <x:c r="Q93" s="169" t="str"/>
    </x:row>
    <x:row r="94">
      <x:c r="A94" s="165" t="n">
        <x:v>46249</x:v>
      </x:c>
      <x:c r="B94" s="166" t="str">
        <x:v>S004</x:v>
      </x:c>
      <x:c r="C94" s="182" t="str">
        <x:f>IFERROR(INDEX('门店主数据'!$B$5:$B$8,MATCH(B94,'门店主数据'!$A$5:$A$8,0)),"")</x:f>
        <x:v>机场店</x:v>
      </x:c>
      <x:c r="D94" s="166" t="str">
        <x:v>P006</x:v>
      </x:c>
      <x:c r="E94" s="182" t="str">
        <x:f>IFERROR(INDEX('商品主数据'!$B$5:$B$16,MATCH(D94,'商品主数据'!$A$5:$A$16,0)),"")</x:f>
        <x:v>冷萃咖啡</x:v>
      </x:c>
      <x:c r="F94" s="182" t="str">
        <x:f>IFERROR(INDEX('商品主数据'!$C$5:$C$16,MATCH(D94,'商品主数据'!$A$5:$A$16,0)),"")</x:f>
        <x:v>咖啡</x:v>
      </x:c>
      <x:c r="G94" s="185" t="n">
        <x:f>IFERROR(INDEX('商品主数据'!$E$5:$E$16,MATCH(D94,'商品主数据'!$A$5:$A$16,0)),"")</x:f>
        <x:v>34</x:v>
      </x:c>
      <x:c r="H94" s="167" t="n">
        <x:v>6</x:v>
      </x:c>
      <x:c r="I94" s="167" t="n">
        <x:v>8</x:v>
      </x:c>
      <x:c r="J94" s="185" t="n">
        <x:f>ROUND(G94*I94,2)</x:f>
        <x:v>272</x:v>
      </x:c>
      <x:c r="K94" s="168" t="n">
        <x:v>8.16</x:v>
      </x:c>
      <x:c r="L94" s="185" t="n">
        <x:f>ROUND(J94-K94,2)</x:f>
        <x:v>263.84</x:v>
      </x:c>
      <x:c r="M94" s="185" t="n">
        <x:f>IFERROR(INDEX('商品主数据'!$F$5:$F$16,MATCH(D94,'商品主数据'!$A$5:$A$16,0)),"")</x:f>
        <x:v>9.5</x:v>
      </x:c>
      <x:c r="N94" s="185" t="n">
        <x:f>ROUND(M94*I94,2)</x:f>
        <x:v>76</x:v>
      </x:c>
      <x:c r="O94" s="185" t="n">
        <x:f>ROUND(L94-N94,2)</x:f>
        <x:v>187.84</x:v>
      </x:c>
      <x:c r="P94" s="166" t="str">
        <x:v>支付宝</x:v>
      </x:c>
      <x:c r="Q94" s="169" t="str"/>
    </x:row>
    <x:row r="95">
      <x:c r="A95" s="165" t="n">
        <x:v>46249</x:v>
      </x:c>
      <x:c r="B95" s="166" t="str">
        <x:v>S004</x:v>
      </x:c>
      <x:c r="C95" s="182" t="str">
        <x:f>IFERROR(INDEX('门店主数据'!$B$5:$B$8,MATCH(B95,'门店主数据'!$A$5:$A$8,0)),"")</x:f>
        <x:v>机场店</x:v>
      </x:c>
      <x:c r="D95" s="166" t="str">
        <x:v>P007</x:v>
      </x:c>
      <x:c r="E95" s="182" t="str">
        <x:f>IFERROR(INDEX('商品主数据'!$B$5:$B$16,MATCH(D95,'商品主数据'!$A$5:$A$16,0)),"")</x:f>
        <x:v>抹茶拿铁</x:v>
      </x:c>
      <x:c r="F95" s="182" t="str">
        <x:f>IFERROR(INDEX('商品主数据'!$C$5:$C$16,MATCH(D95,'商品主数据'!$A$5:$A$16,0)),"")</x:f>
        <x:v>茶饮</x:v>
      </x:c>
      <x:c r="G95" s="185" t="n">
        <x:f>IFERROR(INDEX('商品主数据'!$E$5:$E$16,MATCH(D95,'商品主数据'!$A$5:$A$16,0)),"")</x:f>
        <x:v>34</x:v>
      </x:c>
      <x:c r="H95" s="167" t="n">
        <x:v>4</x:v>
      </x:c>
      <x:c r="I95" s="167" t="n">
        <x:v>6</x:v>
      </x:c>
      <x:c r="J95" s="185" t="n">
        <x:f>ROUND(G95*I95,2)</x:f>
        <x:v>204</x:v>
      </x:c>
      <x:c r="K95" s="168" t="n">
        <x:v>16.32</x:v>
      </x:c>
      <x:c r="L95" s="185" t="n">
        <x:f>ROUND(J95-K95,2)</x:f>
        <x:v>187.68</x:v>
      </x:c>
      <x:c r="M95" s="185" t="n">
        <x:f>IFERROR(INDEX('商品主数据'!$F$5:$F$16,MATCH(D95,'商品主数据'!$A$5:$A$16,0)),"")</x:f>
        <x:v>9</x:v>
      </x:c>
      <x:c r="N95" s="185" t="n">
        <x:f>ROUND(M95*I95,2)</x:f>
        <x:v>54</x:v>
      </x:c>
      <x:c r="O95" s="185" t="n">
        <x:f>ROUND(L95-N95,2)</x:f>
        <x:v>133.68</x:v>
      </x:c>
      <x:c r="P95" s="166" t="str">
        <x:v>银行卡</x:v>
      </x:c>
      <x:c r="Q95" s="169" t="str"/>
    </x:row>
    <x:row r="96">
      <x:c r="A96" s="165" t="n">
        <x:v>46249</x:v>
      </x:c>
      <x:c r="B96" s="166" t="str">
        <x:v>S004</x:v>
      </x:c>
      <x:c r="C96" s="182" t="str">
        <x:f>IFERROR(INDEX('门店主数据'!$B$5:$B$8,MATCH(B96,'门店主数据'!$A$5:$A$8,0)),"")</x:f>
        <x:v>机场店</x:v>
      </x:c>
      <x:c r="D96" s="166" t="str">
        <x:v>P008</x:v>
      </x:c>
      <x:c r="E96" s="182" t="str">
        <x:f>IFERROR(INDEX('商品主数据'!$B$5:$B$16,MATCH(D96,'商品主数据'!$A$5:$A$16,0)),"")</x:f>
        <x:v>海盐芝士蛋糕</x:v>
      </x:c>
      <x:c r="F96" s="182" t="str">
        <x:f>IFERROR(INDEX('商品主数据'!$C$5:$C$16,MATCH(D96,'商品主数据'!$A$5:$A$16,0)),"")</x:f>
        <x:v>烘焙</x:v>
      </x:c>
      <x:c r="G96" s="185" t="n">
        <x:f>IFERROR(INDEX('商品主数据'!$E$5:$E$16,MATCH(D96,'商品主数据'!$A$5:$A$16,0)),"")</x:f>
        <x:v>38</x:v>
      </x:c>
      <x:c r="H96" s="167" t="n">
        <x:v>3</x:v>
      </x:c>
      <x:c r="I96" s="167" t="n">
        <x:v>6</x:v>
      </x:c>
      <x:c r="J96" s="185" t="n">
        <x:f>ROUND(G96*I96,2)</x:f>
        <x:v>228</x:v>
      </x:c>
      <x:c r="K96" s="168" t="n">
        <x:v>6.84</x:v>
      </x:c>
      <x:c r="L96" s="185" t="n">
        <x:f>ROUND(J96-K96,2)</x:f>
        <x:v>221.16</x:v>
      </x:c>
      <x:c r="M96" s="185" t="n">
        <x:f>IFERROR(INDEX('商品主数据'!$F$5:$F$16,MATCH(D96,'商品主数据'!$A$5:$A$16,0)),"")</x:f>
        <x:v>16</x:v>
      </x:c>
      <x:c r="N96" s="185" t="n">
        <x:f>ROUND(M96*I96,2)</x:f>
        <x:v>96</x:v>
      </x:c>
      <x:c r="O96" s="185" t="n">
        <x:f>ROUND(L96-N96,2)</x:f>
        <x:v>125.16</x:v>
      </x:c>
      <x:c r="P96" s="166" t="str">
        <x:v>现金</x:v>
      </x:c>
      <x:c r="Q96" s="169" t="str"/>
    </x:row>
    <x:row r="97">
      <x:c r="A97" s="165" t="n">
        <x:v>46249</x:v>
      </x:c>
      <x:c r="B97" s="166" t="str">
        <x:v>S004</x:v>
      </x:c>
      <x:c r="C97" s="182" t="str">
        <x:f>IFERROR(INDEX('门店主数据'!$B$5:$B$8,MATCH(B97,'门店主数据'!$A$5:$A$8,0)),"")</x:f>
        <x:v>机场店</x:v>
      </x:c>
      <x:c r="D97" s="166" t="str">
        <x:v>P009</x:v>
      </x:c>
      <x:c r="E97" s="182" t="str">
        <x:f>IFERROR(INDEX('商品主数据'!$B$5:$B$16,MATCH(D97,'商品主数据'!$A$5:$A$16,0)),"")</x:f>
        <x:v>黄油可颂</x:v>
      </x:c>
      <x:c r="F97" s="182" t="str">
        <x:f>IFERROR(INDEX('商品主数据'!$C$5:$C$16,MATCH(D97,'商品主数据'!$A$5:$A$16,0)),"")</x:f>
        <x:v>烘焙</x:v>
      </x:c>
      <x:c r="G97" s="185" t="n">
        <x:f>IFERROR(INDEX('商品主数据'!$E$5:$E$16,MATCH(D97,'商品主数据'!$A$5:$A$16,0)),"")</x:f>
        <x:v>18</x:v>
      </x:c>
      <x:c r="H97" s="167" t="n">
        <x:v>9</x:v>
      </x:c>
      <x:c r="I97" s="167" t="n">
        <x:v>12</x:v>
      </x:c>
      <x:c r="J97" s="185" t="n">
        <x:f>ROUND(G97*I97,2)</x:f>
        <x:v>216</x:v>
      </x:c>
      <x:c r="K97" s="168" t="n">
        <x:v>6.48</x:v>
      </x:c>
      <x:c r="L97" s="185" t="n">
        <x:f>ROUND(J97-K97,2)</x:f>
        <x:v>209.52</x:v>
      </x:c>
      <x:c r="M97" s="185" t="n">
        <x:f>IFERROR(INDEX('商品主数据'!$F$5:$F$16,MATCH(D97,'商品主数据'!$A$5:$A$16,0)),"")</x:f>
        <x:v>6</x:v>
      </x:c>
      <x:c r="N97" s="185" t="n">
        <x:f>ROUND(M97*I97,2)</x:f>
        <x:v>72</x:v>
      </x:c>
      <x:c r="O97" s="185" t="n">
        <x:f>ROUND(L97-N97,2)</x:f>
        <x:v>137.52</x:v>
      </x:c>
      <x:c r="P97" s="166" t="str">
        <x:v>微信支付</x:v>
      </x:c>
      <x:c r="Q97" s="169" t="str"/>
    </x:row>
    <x:row r="98">
      <x:c r="A98" s="165" t="n">
        <x:v>46249</x:v>
      </x:c>
      <x:c r="B98" s="166" t="str">
        <x:v>S004</x:v>
      </x:c>
      <x:c r="C98" s="182" t="str">
        <x:f>IFERROR(INDEX('门店主数据'!$B$5:$B$8,MATCH(B98,'门店主数据'!$A$5:$A$8,0)),"")</x:f>
        <x:v>机场店</x:v>
      </x:c>
      <x:c r="D98" s="166" t="str">
        <x:v>P010</x:v>
      </x:c>
      <x:c r="E98" s="182" t="str">
        <x:f>IFERROR(INDEX('商品主数据'!$B$5:$B$16,MATCH(D98,'商品主数据'!$A$5:$A$16,0)),"")</x:f>
        <x:v>蓝莓玛芬</x:v>
      </x:c>
      <x:c r="F98" s="182" t="str">
        <x:f>IFERROR(INDEX('商品主数据'!$C$5:$C$16,MATCH(D98,'商品主数据'!$A$5:$A$16,0)),"")</x:f>
        <x:v>烘焙</x:v>
      </x:c>
      <x:c r="G98" s="185" t="n">
        <x:f>IFERROR(INDEX('商品主数据'!$E$5:$E$16,MATCH(D98,'商品主数据'!$A$5:$A$16,0)),"")</x:f>
        <x:v>16</x:v>
      </x:c>
      <x:c r="H98" s="167" t="n">
        <x:v>5</x:v>
      </x:c>
      <x:c r="I98" s="167" t="n">
        <x:v>9</x:v>
      </x:c>
      <x:c r="J98" s="185" t="n">
        <x:f>ROUND(G98*I98,2)</x:f>
        <x:v>144</x:v>
      </x:c>
      <x:c r="K98" s="168" t="n">
        <x:v>4.32</x:v>
      </x:c>
      <x:c r="L98" s="185" t="n">
        <x:f>ROUND(J98-K98,2)</x:f>
        <x:v>139.68</x:v>
      </x:c>
      <x:c r="M98" s="185" t="n">
        <x:f>IFERROR(INDEX('商品主数据'!$F$5:$F$16,MATCH(D98,'商品主数据'!$A$5:$A$16,0)),"")</x:f>
        <x:v>5</x:v>
      </x:c>
      <x:c r="N98" s="185" t="n">
        <x:f>ROUND(M98*I98,2)</x:f>
        <x:v>45</x:v>
      </x:c>
      <x:c r="O98" s="185" t="n">
        <x:f>ROUND(L98-N98,2)</x:f>
        <x:v>94.68</x:v>
      </x:c>
      <x:c r="P98" s="166" t="str">
        <x:v>支付宝</x:v>
      </x:c>
      <x:c r="Q98" s="169" t="str"/>
    </x:row>
    <x:row r="99">
      <x:c r="A99" s="165" t="n">
        <x:v>46249</x:v>
      </x:c>
      <x:c r="B99" s="166" t="str">
        <x:v>S004</x:v>
      </x:c>
      <x:c r="C99" s="182" t="str">
        <x:f>IFERROR(INDEX('门店主数据'!$B$5:$B$8,MATCH(B99,'门店主数据'!$A$5:$A$8,0)),"")</x:f>
        <x:v>机场店</x:v>
      </x:c>
      <x:c r="D99" s="166" t="str">
        <x:v>P011</x:v>
      </x:c>
      <x:c r="E99" s="182" t="str">
        <x:f>IFERROR(INDEX('商品主数据'!$B$5:$B$16,MATCH(D99,'商品主数据'!$A$5:$A$16,0)),"")</x:f>
        <x:v>火腿芝士三明治</x:v>
      </x:c>
      <x:c r="F99" s="182" t="str">
        <x:f>IFERROR(INDEX('商品主数据'!$C$5:$C$16,MATCH(D99,'商品主数据'!$A$5:$A$16,0)),"")</x:f>
        <x:v>轻食</x:v>
      </x:c>
      <x:c r="G99" s="185" t="n">
        <x:f>IFERROR(INDEX('商品主数据'!$E$5:$E$16,MATCH(D99,'商品主数据'!$A$5:$A$16,0)),"")</x:f>
        <x:v>32</x:v>
      </x:c>
      <x:c r="H99" s="167" t="n">
        <x:v>4</x:v>
      </x:c>
      <x:c r="I99" s="167" t="n">
        <x:v>7</x:v>
      </x:c>
      <x:c r="J99" s="185" t="n">
        <x:f>ROUND(G99*I99,2)</x:f>
        <x:v>224</x:v>
      </x:c>
      <x:c r="K99" s="168" t="n">
        <x:v>6.72</x:v>
      </x:c>
      <x:c r="L99" s="185" t="n">
        <x:f>ROUND(J99-K99,2)</x:f>
        <x:v>217.28</x:v>
      </x:c>
      <x:c r="M99" s="185" t="n">
        <x:f>IFERROR(INDEX('商品主数据'!$F$5:$F$16,MATCH(D99,'商品主数据'!$A$5:$A$16,0)),"")</x:f>
        <x:v>13</x:v>
      </x:c>
      <x:c r="N99" s="185" t="n">
        <x:f>ROUND(M99*I99,2)</x:f>
        <x:v>91</x:v>
      </x:c>
      <x:c r="O99" s="185" t="n">
        <x:f>ROUND(L99-N99,2)</x:f>
        <x:v>126.28</x:v>
      </x:c>
      <x:c r="P99" s="166" t="str">
        <x:v>银行卡</x:v>
      </x:c>
      <x:c r="Q99" s="169" t="str"/>
    </x:row>
    <x:row r="100">
      <x:c r="A100" s="165" t="n">
        <x:v>46249</x:v>
      </x:c>
      <x:c r="B100" s="166" t="str">
        <x:v>S004</x:v>
      </x:c>
      <x:c r="C100" s="182" t="str">
        <x:f>IFERROR(INDEX('门店主数据'!$B$5:$B$8,MATCH(B100,'门店主数据'!$A$5:$A$8,0)),"")</x:f>
        <x:v>机场店</x:v>
      </x:c>
      <x:c r="D100" s="166" t="str">
        <x:v>P012</x:v>
      </x:c>
      <x:c r="E100" s="182" t="str">
        <x:f>IFERROR(INDEX('商品主数据'!$B$5:$B$16,MATCH(D100,'商品主数据'!$A$5:$A$16,0)),"")</x:f>
        <x:v>燕麦奶加料</x:v>
      </x:c>
      <x:c r="F100" s="182" t="str">
        <x:f>IFERROR(INDEX('商品主数据'!$C$5:$C$16,MATCH(D100,'商品主数据'!$A$5:$A$16,0)),"")</x:f>
        <x:v>加料</x:v>
      </x:c>
      <x:c r="G100" s="185" t="n">
        <x:f>IFERROR(INDEX('商品主数据'!$E$5:$E$16,MATCH(D100,'商品主数据'!$A$5:$A$16,0)),"")</x:f>
        <x:v>5</x:v>
      </x:c>
      <x:c r="H100" s="167" t="n">
        <x:v>1</x:v>
      </x:c>
      <x:c r="I100" s="167" t="n">
        <x:v>3</x:v>
      </x:c>
      <x:c r="J100" s="185" t="n">
        <x:f>ROUND(G100*I100,2)</x:f>
        <x:v>15</x:v>
      </x:c>
      <x:c r="K100" s="168" t="n">
        <x:v>1.2</x:v>
      </x:c>
      <x:c r="L100" s="185" t="n">
        <x:f>ROUND(J100-K100,2)</x:f>
        <x:v>13.8</x:v>
      </x:c>
      <x:c r="M100" s="185" t="n">
        <x:f>IFERROR(INDEX('商品主数据'!$F$5:$F$16,MATCH(D100,'商品主数据'!$A$5:$A$16,0)),"")</x:f>
        <x:v>1.8</x:v>
      </x:c>
      <x:c r="N100" s="185" t="n">
        <x:f>ROUND(M100*I100,2)</x:f>
        <x:v>5.4</x:v>
      </x:c>
      <x:c r="O100" s="185" t="n">
        <x:f>ROUND(L100-N100,2)</x:f>
        <x:v>8.4</x:v>
      </x:c>
      <x:c r="P100" s="166" t="str">
        <x:v>现金</x:v>
      </x:c>
      <x:c r="Q100" s="169" t="str"/>
    </x:row>
    <x:row r="101">
      <x:c r="A101" s="165" t="n">
        <x:v>46250</x:v>
      </x:c>
      <x:c r="B101" s="166" t="str">
        <x:v>S001</x:v>
      </x:c>
      <x:c r="C101" s="182" t="str">
        <x:f>IFERROR(INDEX('门店主数据'!$B$5:$B$8,MATCH(B101,'门店主数据'!$A$5:$A$8,0)),"")</x:f>
        <x:v>人民广场店</x:v>
      </x:c>
      <x:c r="D101" s="166" t="str">
        <x:v>P001</x:v>
      </x:c>
      <x:c r="E101" s="182" t="str">
        <x:f>IFERROR(INDEX('商品主数据'!$B$5:$B$16,MATCH(D101,'商品主数据'!$A$5:$A$16,0)),"")</x:f>
        <x:v>浓缩咖啡</x:v>
      </x:c>
      <x:c r="F101" s="182" t="str">
        <x:f>IFERROR(INDEX('商品主数据'!$C$5:$C$16,MATCH(D101,'商品主数据'!$A$5:$A$16,0)),"")</x:f>
        <x:v>咖啡</x:v>
      </x:c>
      <x:c r="G101" s="185" t="n">
        <x:f>IFERROR(INDEX('商品主数据'!$E$5:$E$16,MATCH(D101,'商品主数据'!$A$5:$A$16,0)),"")</x:f>
        <x:v>22</x:v>
      </x:c>
      <x:c r="H101" s="167" t="n">
        <x:v>9</x:v>
      </x:c>
      <x:c r="I101" s="167" t="n">
        <x:v>12</x:v>
      </x:c>
      <x:c r="J101" s="185" t="n">
        <x:f>ROUND(G101*I101,2)</x:f>
        <x:v>264</x:v>
      </x:c>
      <x:c r="K101" s="168" t="n">
        <x:v>7.92</x:v>
      </x:c>
      <x:c r="L101" s="185" t="n">
        <x:f>ROUND(J101-K101,2)</x:f>
        <x:v>256.08</x:v>
      </x:c>
      <x:c r="M101" s="185" t="n">
        <x:f>IFERROR(INDEX('商品主数据'!$F$5:$F$16,MATCH(D101,'商品主数据'!$A$5:$A$16,0)),"")</x:f>
        <x:v>5.5</x:v>
      </x:c>
      <x:c r="N101" s="185" t="n">
        <x:f>ROUND(M101*I101,2)</x:f>
        <x:v>66</x:v>
      </x:c>
      <x:c r="O101" s="185" t="n">
        <x:f>ROUND(L101-N101,2)</x:f>
        <x:v>190.08</x:v>
      </x:c>
      <x:c r="P101" s="166" t="str">
        <x:v>银行卡</x:v>
      </x:c>
      <x:c r="Q101" s="169" t="str"/>
    </x:row>
    <x:row r="102">
      <x:c r="A102" s="165" t="n">
        <x:v>46250</x:v>
      </x:c>
      <x:c r="B102" s="166" t="str">
        <x:v>S001</x:v>
      </x:c>
      <x:c r="C102" s="182" t="str">
        <x:f>IFERROR(INDEX('门店主数据'!$B$5:$B$8,MATCH(B102,'门店主数据'!$A$5:$A$8,0)),"")</x:f>
        <x:v>人民广场店</x:v>
      </x:c>
      <x:c r="D102" s="166" t="str">
        <x:v>P002</x:v>
      </x:c>
      <x:c r="E102" s="182" t="str">
        <x:f>IFERROR(INDEX('商品主数据'!$B$5:$B$16,MATCH(D102,'商品主数据'!$A$5:$A$16,0)),"")</x:f>
        <x:v>美式咖啡</x:v>
      </x:c>
      <x:c r="F102" s="182" t="str">
        <x:f>IFERROR(INDEX('商品主数据'!$C$5:$C$16,MATCH(D102,'商品主数据'!$A$5:$A$16,0)),"")</x:f>
        <x:v>咖啡</x:v>
      </x:c>
      <x:c r="G102" s="185" t="n">
        <x:f>IFERROR(INDEX('商品主数据'!$E$5:$E$16,MATCH(D102,'商品主数据'!$A$5:$A$16,0)),"")</x:f>
        <x:v>26</x:v>
      </x:c>
      <x:c r="H102" s="167" t="n">
        <x:v>19</x:v>
      </x:c>
      <x:c r="I102" s="167" t="n">
        <x:v>23</x:v>
      </x:c>
      <x:c r="J102" s="185" t="n">
        <x:f>ROUND(G102*I102,2)</x:f>
        <x:v>598</x:v>
      </x:c>
      <x:c r="K102" s="168" t="n">
        <x:v>17.94</x:v>
      </x:c>
      <x:c r="L102" s="185" t="n">
        <x:f>ROUND(J102-K102,2)</x:f>
        <x:v>580.06</x:v>
      </x:c>
      <x:c r="M102" s="185" t="n">
        <x:f>IFERROR(INDEX('商品主数据'!$F$5:$F$16,MATCH(D102,'商品主数据'!$A$5:$A$16,0)),"")</x:f>
        <x:v>6</x:v>
      </x:c>
      <x:c r="N102" s="185" t="n">
        <x:f>ROUND(M102*I102,2)</x:f>
        <x:v>138</x:v>
      </x:c>
      <x:c r="O102" s="185" t="n">
        <x:f>ROUND(L102-N102,2)</x:f>
        <x:v>442.06</x:v>
      </x:c>
      <x:c r="P102" s="166" t="str">
        <x:v>现金</x:v>
      </x:c>
      <x:c r="Q102" s="169" t="str"/>
    </x:row>
    <x:row r="103">
      <x:c r="A103" s="165" t="n">
        <x:v>46250</x:v>
      </x:c>
      <x:c r="B103" s="166" t="str">
        <x:v>S001</x:v>
      </x:c>
      <x:c r="C103" s="182" t="str">
        <x:f>IFERROR(INDEX('门店主数据'!$B$5:$B$8,MATCH(B103,'门店主数据'!$A$5:$A$8,0)),"")</x:f>
        <x:v>人民广场店</x:v>
      </x:c>
      <x:c r="D103" s="166" t="str">
        <x:v>P003</x:v>
      </x:c>
      <x:c r="E103" s="182" t="str">
        <x:f>IFERROR(INDEX('商品主数据'!$B$5:$B$16,MATCH(D103,'商品主数据'!$A$5:$A$16,0)),"")</x:f>
        <x:v>拿铁咖啡</x:v>
      </x:c>
      <x:c r="F103" s="182" t="str">
        <x:f>IFERROR(INDEX('商品主数据'!$C$5:$C$16,MATCH(D103,'商品主数据'!$A$5:$A$16,0)),"")</x:f>
        <x:v>咖啡</x:v>
      </x:c>
      <x:c r="G103" s="185" t="n">
        <x:f>IFERROR(INDEX('商品主数据'!$E$5:$E$16,MATCH(D103,'商品主数据'!$A$5:$A$16,0)),"")</x:f>
        <x:v>32</x:v>
      </x:c>
      <x:c r="H103" s="167" t="n">
        <x:v>14</x:v>
      </x:c>
      <x:c r="I103" s="167" t="n">
        <x:v>19</x:v>
      </x:c>
      <x:c r="J103" s="185" t="n">
        <x:f>ROUND(G103*I103,2)</x:f>
        <x:v>608</x:v>
      </x:c>
      <x:c r="K103" s="168" t="n">
        <x:v>18.24</x:v>
      </x:c>
      <x:c r="L103" s="185" t="n">
        <x:f>ROUND(J103-K103,2)</x:f>
        <x:v>589.76</x:v>
      </x:c>
      <x:c r="M103" s="185" t="n">
        <x:f>IFERROR(INDEX('商品主数据'!$F$5:$F$16,MATCH(D103,'商品主数据'!$A$5:$A$16,0)),"")</x:f>
        <x:v>8.5</x:v>
      </x:c>
      <x:c r="N103" s="185" t="n">
        <x:f>ROUND(M103*I103,2)</x:f>
        <x:v>161.5</x:v>
      </x:c>
      <x:c r="O103" s="185" t="n">
        <x:f>ROUND(L103-N103,2)</x:f>
        <x:v>428.26</x:v>
      </x:c>
      <x:c r="P103" s="166" t="str">
        <x:v>微信支付</x:v>
      </x:c>
      <x:c r="Q103" s="169" t="str">
        <x:v>新品推广测试</x:v>
      </x:c>
    </x:row>
    <x:row r="104">
      <x:c r="A104" s="165" t="n">
        <x:v>46250</x:v>
      </x:c>
      <x:c r="B104" s="166" t="str">
        <x:v>S001</x:v>
      </x:c>
      <x:c r="C104" s="182" t="str">
        <x:f>IFERROR(INDEX('门店主数据'!$B$5:$B$8,MATCH(B104,'门店主数据'!$A$5:$A$8,0)),"")</x:f>
        <x:v>人民广场店</x:v>
      </x:c>
      <x:c r="D104" s="166" t="str">
        <x:v>P004</x:v>
      </x:c>
      <x:c r="E104" s="182" t="str">
        <x:f>IFERROR(INDEX('商品主数据'!$B$5:$B$16,MATCH(D104,'商品主数据'!$A$5:$A$16,0)),"")</x:f>
        <x:v>卡布奇诺</x:v>
      </x:c>
      <x:c r="F104" s="182" t="str">
        <x:f>IFERROR(INDEX('商品主数据'!$C$5:$C$16,MATCH(D104,'商品主数据'!$A$5:$A$16,0)),"")</x:f>
        <x:v>咖啡</x:v>
      </x:c>
      <x:c r="G104" s="185" t="n">
        <x:f>IFERROR(INDEX('商品主数据'!$E$5:$E$16,MATCH(D104,'商品主数据'!$A$5:$A$16,0)),"")</x:f>
        <x:v>32</x:v>
      </x:c>
      <x:c r="H104" s="167" t="n">
        <x:v>9</x:v>
      </x:c>
      <x:c r="I104" s="167" t="n">
        <x:v>13</x:v>
      </x:c>
      <x:c r="J104" s="185" t="n">
        <x:f>ROUND(G104*I104,2)</x:f>
        <x:v>416</x:v>
      </x:c>
      <x:c r="K104" s="168" t="n">
        <x:v>33.28</x:v>
      </x:c>
      <x:c r="L104" s="185" t="n">
        <x:f>ROUND(J104-K104,2)</x:f>
        <x:v>382.72</x:v>
      </x:c>
      <x:c r="M104" s="185" t="n">
        <x:f>IFERROR(INDEX('商品主数据'!$F$5:$F$16,MATCH(D104,'商品主数据'!$A$5:$A$16,0)),"")</x:f>
        <x:v>8.5</x:v>
      </x:c>
      <x:c r="N104" s="185" t="n">
        <x:f>ROUND(M104*I104,2)</x:f>
        <x:v>110.5</x:v>
      </x:c>
      <x:c r="O104" s="185" t="n">
        <x:f>ROUND(L104-N104,2)</x:f>
        <x:v>272.22</x:v>
      </x:c>
      <x:c r="P104" s="166" t="str">
        <x:v>支付宝</x:v>
      </x:c>
      <x:c r="Q104" s="169" t="str"/>
    </x:row>
    <x:row r="105">
      <x:c r="A105" s="165" t="n">
        <x:v>46250</x:v>
      </x:c>
      <x:c r="B105" s="166" t="str">
        <x:v>S001</x:v>
      </x:c>
      <x:c r="C105" s="182" t="str">
        <x:f>IFERROR(INDEX('门店主数据'!$B$5:$B$8,MATCH(B105,'门店主数据'!$A$5:$A$8,0)),"")</x:f>
        <x:v>人民广场店</x:v>
      </x:c>
      <x:c r="D105" s="166" t="str">
        <x:v>P005</x:v>
      </x:c>
      <x:c r="E105" s="182" t="str">
        <x:f>IFERROR(INDEX('商品主数据'!$B$5:$B$16,MATCH(D105,'商品主数据'!$A$5:$A$16,0)),"")</x:f>
        <x:v>摩卡咖啡</x:v>
      </x:c>
      <x:c r="F105" s="182" t="str">
        <x:f>IFERROR(INDEX('商品主数据'!$C$5:$C$16,MATCH(D105,'商品主数据'!$A$5:$A$16,0)),"")</x:f>
        <x:v>咖啡</x:v>
      </x:c>
      <x:c r="G105" s="185" t="n">
        <x:f>IFERROR(INDEX('商品主数据'!$E$5:$E$16,MATCH(D105,'商品主数据'!$A$5:$A$16,0)),"")</x:f>
        <x:v>36</x:v>
      </x:c>
      <x:c r="H105" s="167" t="n">
        <x:v>5</x:v>
      </x:c>
      <x:c r="I105" s="167" t="n">
        <x:v>7</x:v>
      </x:c>
      <x:c r="J105" s="185" t="n">
        <x:f>ROUND(G105*I105,2)</x:f>
        <x:v>252</x:v>
      </x:c>
      <x:c r="K105" s="168" t="n">
        <x:v>7.56</x:v>
      </x:c>
      <x:c r="L105" s="185" t="n">
        <x:f>ROUND(J105-K105,2)</x:f>
        <x:v>244.44</x:v>
      </x:c>
      <x:c r="M105" s="185" t="n">
        <x:f>IFERROR(INDEX('商品主数据'!$F$5:$F$16,MATCH(D105,'商品主数据'!$A$5:$A$16,0)),"")</x:f>
        <x:v>10</x:v>
      </x:c>
      <x:c r="N105" s="185" t="n">
        <x:f>ROUND(M105*I105,2)</x:f>
        <x:v>70</x:v>
      </x:c>
      <x:c r="O105" s="185" t="n">
        <x:f>ROUND(L105-N105,2)</x:f>
        <x:v>174.44</x:v>
      </x:c>
      <x:c r="P105" s="166" t="str">
        <x:v>银行卡</x:v>
      </x:c>
      <x:c r="Q105" s="169" t="str"/>
    </x:row>
    <x:row r="106">
      <x:c r="A106" s="165" t="n">
        <x:v>46250</x:v>
      </x:c>
      <x:c r="B106" s="166" t="str">
        <x:v>S001</x:v>
      </x:c>
      <x:c r="C106" s="182" t="str">
        <x:f>IFERROR(INDEX('门店主数据'!$B$5:$B$8,MATCH(B106,'门店主数据'!$A$5:$A$8,0)),"")</x:f>
        <x:v>人民广场店</x:v>
      </x:c>
      <x:c r="D106" s="166" t="str">
        <x:v>P006</x:v>
      </x:c>
      <x:c r="E106" s="182" t="str">
        <x:f>IFERROR(INDEX('商品主数据'!$B$5:$B$16,MATCH(D106,'商品主数据'!$A$5:$A$16,0)),"")</x:f>
        <x:v>冷萃咖啡</x:v>
      </x:c>
      <x:c r="F106" s="182" t="str">
        <x:f>IFERROR(INDEX('商品主数据'!$C$5:$C$16,MATCH(D106,'商品主数据'!$A$5:$A$16,0)),"")</x:f>
        <x:v>咖啡</x:v>
      </x:c>
      <x:c r="G106" s="185" t="n">
        <x:f>IFERROR(INDEX('商品主数据'!$E$5:$E$16,MATCH(D106,'商品主数据'!$A$5:$A$16,0)),"")</x:f>
        <x:v>34</x:v>
      </x:c>
      <x:c r="H106" s="167" t="n">
        <x:v>7</x:v>
      </x:c>
      <x:c r="I106" s="167" t="n">
        <x:v>9</x:v>
      </x:c>
      <x:c r="J106" s="185" t="n">
        <x:f>ROUND(G106*I106,2)</x:f>
        <x:v>306</x:v>
      </x:c>
      <x:c r="K106" s="168" t="n">
        <x:v>9.18</x:v>
      </x:c>
      <x:c r="L106" s="185" t="n">
        <x:f>ROUND(J106-K106,2)</x:f>
        <x:v>296.82</x:v>
      </x:c>
      <x:c r="M106" s="185" t="n">
        <x:f>IFERROR(INDEX('商品主数据'!$F$5:$F$16,MATCH(D106,'商品主数据'!$A$5:$A$16,0)),"")</x:f>
        <x:v>9.5</x:v>
      </x:c>
      <x:c r="N106" s="185" t="n">
        <x:f>ROUND(M106*I106,2)</x:f>
        <x:v>85.5</x:v>
      </x:c>
      <x:c r="O106" s="185" t="n">
        <x:f>ROUND(L106-N106,2)</x:f>
        <x:v>211.32</x:v>
      </x:c>
      <x:c r="P106" s="166" t="str">
        <x:v>现金</x:v>
      </x:c>
      <x:c r="Q106" s="169" t="str"/>
    </x:row>
    <x:row r="107">
      <x:c r="A107" s="165" t="n">
        <x:v>46250</x:v>
      </x:c>
      <x:c r="B107" s="166" t="str">
        <x:v>S001</x:v>
      </x:c>
      <x:c r="C107" s="182" t="str">
        <x:f>IFERROR(INDEX('门店主数据'!$B$5:$B$8,MATCH(B107,'门店主数据'!$A$5:$A$8,0)),"")</x:f>
        <x:v>人民广场店</x:v>
      </x:c>
      <x:c r="D107" s="166" t="str">
        <x:v>P007</x:v>
      </x:c>
      <x:c r="E107" s="182" t="str">
        <x:f>IFERROR(INDEX('商品主数据'!$B$5:$B$16,MATCH(D107,'商品主数据'!$A$5:$A$16,0)),"")</x:f>
        <x:v>抹茶拿铁</x:v>
      </x:c>
      <x:c r="F107" s="182" t="str">
        <x:f>IFERROR(INDEX('商品主数据'!$C$5:$C$16,MATCH(D107,'商品主数据'!$A$5:$A$16,0)),"")</x:f>
        <x:v>茶饮</x:v>
      </x:c>
      <x:c r="G107" s="185" t="n">
        <x:f>IFERROR(INDEX('商品主数据'!$E$5:$E$16,MATCH(D107,'商品主数据'!$A$5:$A$16,0)),"")</x:f>
        <x:v>34</x:v>
      </x:c>
      <x:c r="H107" s="167" t="n">
        <x:v>5</x:v>
      </x:c>
      <x:c r="I107" s="167" t="n">
        <x:v>8</x:v>
      </x:c>
      <x:c r="J107" s="185" t="n">
        <x:f>ROUND(G107*I107,2)</x:f>
        <x:v>272</x:v>
      </x:c>
      <x:c r="K107" s="168" t="n">
        <x:v>8.16</x:v>
      </x:c>
      <x:c r="L107" s="185" t="n">
        <x:f>ROUND(J107-K107,2)</x:f>
        <x:v>263.84</x:v>
      </x:c>
      <x:c r="M107" s="185" t="n">
        <x:f>IFERROR(INDEX('商品主数据'!$F$5:$F$16,MATCH(D107,'商品主数据'!$A$5:$A$16,0)),"")</x:f>
        <x:v>9</x:v>
      </x:c>
      <x:c r="N107" s="185" t="n">
        <x:f>ROUND(M107*I107,2)</x:f>
        <x:v>72</x:v>
      </x:c>
      <x:c r="O107" s="185" t="n">
        <x:f>ROUND(L107-N107,2)</x:f>
        <x:v>191.84</x:v>
      </x:c>
      <x:c r="P107" s="166" t="str">
        <x:v>微信支付</x:v>
      </x:c>
      <x:c r="Q107" s="169" t="str"/>
    </x:row>
    <x:row r="108">
      <x:c r="A108" s="165" t="n">
        <x:v>46250</x:v>
      </x:c>
      <x:c r="B108" s="166" t="str">
        <x:v>S001</x:v>
      </x:c>
      <x:c r="C108" s="182" t="str">
        <x:f>IFERROR(INDEX('门店主数据'!$B$5:$B$8,MATCH(B108,'门店主数据'!$A$5:$A$8,0)),"")</x:f>
        <x:v>人民广场店</x:v>
      </x:c>
      <x:c r="D108" s="166" t="str">
        <x:v>P008</x:v>
      </x:c>
      <x:c r="E108" s="182" t="str">
        <x:f>IFERROR(INDEX('商品主数据'!$B$5:$B$16,MATCH(D108,'商品主数据'!$A$5:$A$16,0)),"")</x:f>
        <x:v>海盐芝士蛋糕</x:v>
      </x:c>
      <x:c r="F108" s="182" t="str">
        <x:f>IFERROR(INDEX('商品主数据'!$C$5:$C$16,MATCH(D108,'商品主数据'!$A$5:$A$16,0)),"")</x:f>
        <x:v>烘焙</x:v>
      </x:c>
      <x:c r="G108" s="185" t="n">
        <x:f>IFERROR(INDEX('商品主数据'!$E$5:$E$16,MATCH(D108,'商品主数据'!$A$5:$A$16,0)),"")</x:f>
        <x:v>38</x:v>
      </x:c>
      <x:c r="H108" s="167" t="n">
        <x:v>2</x:v>
      </x:c>
      <x:c r="I108" s="167" t="n">
        <x:v>4</x:v>
      </x:c>
      <x:c r="J108" s="185" t="n">
        <x:f>ROUND(G108*I108,2)</x:f>
        <x:v>152</x:v>
      </x:c>
      <x:c r="K108" s="168" t="n">
        <x:v>4.56</x:v>
      </x:c>
      <x:c r="L108" s="185" t="n">
        <x:f>ROUND(J108-K108,2)</x:f>
        <x:v>147.44</x:v>
      </x:c>
      <x:c r="M108" s="185" t="n">
        <x:f>IFERROR(INDEX('商品主数据'!$F$5:$F$16,MATCH(D108,'商品主数据'!$A$5:$A$16,0)),"")</x:f>
        <x:v>16</x:v>
      </x:c>
      <x:c r="N108" s="185" t="n">
        <x:f>ROUND(M108*I108,2)</x:f>
        <x:v>64</x:v>
      </x:c>
      <x:c r="O108" s="185" t="n">
        <x:f>ROUND(L108-N108,2)</x:f>
        <x:v>83.44</x:v>
      </x:c>
      <x:c r="P108" s="166" t="str">
        <x:v>支付宝</x:v>
      </x:c>
      <x:c r="Q108" s="169" t="str"/>
    </x:row>
    <x:row r="109">
      <x:c r="A109" s="165" t="n">
        <x:v>46250</x:v>
      </x:c>
      <x:c r="B109" s="166" t="str">
        <x:v>S001</x:v>
      </x:c>
      <x:c r="C109" s="182" t="str">
        <x:f>IFERROR(INDEX('门店主数据'!$B$5:$B$8,MATCH(B109,'门店主数据'!$A$5:$A$8,0)),"")</x:f>
        <x:v>人民广场店</x:v>
      </x:c>
      <x:c r="D109" s="166" t="str">
        <x:v>P009</x:v>
      </x:c>
      <x:c r="E109" s="182" t="str">
        <x:f>IFERROR(INDEX('商品主数据'!$B$5:$B$16,MATCH(D109,'商品主数据'!$A$5:$A$16,0)),"")</x:f>
        <x:v>黄油可颂</x:v>
      </x:c>
      <x:c r="F109" s="182" t="str">
        <x:f>IFERROR(INDEX('商品主数据'!$C$5:$C$16,MATCH(D109,'商品主数据'!$A$5:$A$16,0)),"")</x:f>
        <x:v>烘焙</x:v>
      </x:c>
      <x:c r="G109" s="185" t="n">
        <x:f>IFERROR(INDEX('商品主数据'!$E$5:$E$16,MATCH(D109,'商品主数据'!$A$5:$A$16,0)),"")</x:f>
        <x:v>18</x:v>
      </x:c>
      <x:c r="H109" s="167" t="n">
        <x:v>9</x:v>
      </x:c>
      <x:c r="I109" s="167" t="n">
        <x:v>13</x:v>
      </x:c>
      <x:c r="J109" s="185" t="n">
        <x:f>ROUND(G109*I109,2)</x:f>
        <x:v>234</x:v>
      </x:c>
      <x:c r="K109" s="168" t="n">
        <x:v>18.72</x:v>
      </x:c>
      <x:c r="L109" s="185" t="n">
        <x:f>ROUND(J109-K109,2)</x:f>
        <x:v>215.28</x:v>
      </x:c>
      <x:c r="M109" s="185" t="n">
        <x:f>IFERROR(INDEX('商品主数据'!$F$5:$F$16,MATCH(D109,'商品主数据'!$A$5:$A$16,0)),"")</x:f>
        <x:v>6</x:v>
      </x:c>
      <x:c r="N109" s="185" t="n">
        <x:f>ROUND(M109*I109,2)</x:f>
        <x:v>78</x:v>
      </x:c>
      <x:c r="O109" s="185" t="n">
        <x:f>ROUND(L109-N109,2)</x:f>
        <x:v>137.28</x:v>
      </x:c>
      <x:c r="P109" s="166" t="str">
        <x:v>银行卡</x:v>
      </x:c>
      <x:c r="Q109" s="169" t="str"/>
    </x:row>
    <x:row r="110">
      <x:c r="A110" s="165" t="n">
        <x:v>46250</x:v>
      </x:c>
      <x:c r="B110" s="166" t="str">
        <x:v>S001</x:v>
      </x:c>
      <x:c r="C110" s="182" t="str">
        <x:f>IFERROR(INDEX('门店主数据'!$B$5:$B$8,MATCH(B110,'门店主数据'!$A$5:$A$8,0)),"")</x:f>
        <x:v>人民广场店</x:v>
      </x:c>
      <x:c r="D110" s="166" t="str">
        <x:v>P010</x:v>
      </x:c>
      <x:c r="E110" s="182" t="str">
        <x:f>IFERROR(INDEX('商品主数据'!$B$5:$B$16,MATCH(D110,'商品主数据'!$A$5:$A$16,0)),"")</x:f>
        <x:v>蓝莓玛芬</x:v>
      </x:c>
      <x:c r="F110" s="182" t="str">
        <x:f>IFERROR(INDEX('商品主数据'!$C$5:$C$16,MATCH(D110,'商品主数据'!$A$5:$A$16,0)),"")</x:f>
        <x:v>烘焙</x:v>
      </x:c>
      <x:c r="G110" s="185" t="n">
        <x:f>IFERROR(INDEX('商品主数据'!$E$5:$E$16,MATCH(D110,'商品主数据'!$A$5:$A$16,0)),"")</x:f>
        <x:v>16</x:v>
      </x:c>
      <x:c r="H110" s="167" t="n">
        <x:v>6</x:v>
      </x:c>
      <x:c r="I110" s="167" t="n">
        <x:v>10</x:v>
      </x:c>
      <x:c r="J110" s="185" t="n">
        <x:f>ROUND(G110*I110,2)</x:f>
        <x:v>160</x:v>
      </x:c>
      <x:c r="K110" s="168" t="n">
        <x:v>4.8</x:v>
      </x:c>
      <x:c r="L110" s="185" t="n">
        <x:f>ROUND(J110-K110,2)</x:f>
        <x:v>155.2</x:v>
      </x:c>
      <x:c r="M110" s="185" t="n">
        <x:f>IFERROR(INDEX('商品主数据'!$F$5:$F$16,MATCH(D110,'商品主数据'!$A$5:$A$16,0)),"")</x:f>
        <x:v>5</x:v>
      </x:c>
      <x:c r="N110" s="185" t="n">
        <x:f>ROUND(M110*I110,2)</x:f>
        <x:v>50</x:v>
      </x:c>
      <x:c r="O110" s="185" t="n">
        <x:f>ROUND(L110-N110,2)</x:f>
        <x:v>105.2</x:v>
      </x:c>
      <x:c r="P110" s="166" t="str">
        <x:v>现金</x:v>
      </x:c>
      <x:c r="Q110" s="169" t="str"/>
    </x:row>
    <x:row r="111">
      <x:c r="A111" s="165" t="n">
        <x:v>46250</x:v>
      </x:c>
      <x:c r="B111" s="166" t="str">
        <x:v>S001</x:v>
      </x:c>
      <x:c r="C111" s="182" t="str">
        <x:f>IFERROR(INDEX('门店主数据'!$B$5:$B$8,MATCH(B111,'门店主数据'!$A$5:$A$8,0)),"")</x:f>
        <x:v>人民广场店</x:v>
      </x:c>
      <x:c r="D111" s="166" t="str">
        <x:v>P011</x:v>
      </x:c>
      <x:c r="E111" s="182" t="str">
        <x:f>IFERROR(INDEX('商品主数据'!$B$5:$B$16,MATCH(D111,'商品主数据'!$A$5:$A$16,0)),"")</x:f>
        <x:v>火腿芝士三明治</x:v>
      </x:c>
      <x:c r="F111" s="182" t="str">
        <x:f>IFERROR(INDEX('商品主数据'!$C$5:$C$16,MATCH(D111,'商品主数据'!$A$5:$A$16,0)),"")</x:f>
        <x:v>轻食</x:v>
      </x:c>
      <x:c r="G111" s="185" t="n">
        <x:f>IFERROR(INDEX('商品主数据'!$E$5:$E$16,MATCH(D111,'商品主数据'!$A$5:$A$16,0)),"")</x:f>
        <x:v>32</x:v>
      </x:c>
      <x:c r="H111" s="167" t="n">
        <x:v>3</x:v>
      </x:c>
      <x:c r="I111" s="167" t="n">
        <x:v>6</x:v>
      </x:c>
      <x:c r="J111" s="185" t="n">
        <x:f>ROUND(G111*I111,2)</x:f>
        <x:v>192</x:v>
      </x:c>
      <x:c r="K111" s="168" t="n">
        <x:v>5.76</x:v>
      </x:c>
      <x:c r="L111" s="185" t="n">
        <x:f>ROUND(J111-K111,2)</x:f>
        <x:v>186.24</x:v>
      </x:c>
      <x:c r="M111" s="185" t="n">
        <x:f>IFERROR(INDEX('商品主数据'!$F$5:$F$16,MATCH(D111,'商品主数据'!$A$5:$A$16,0)),"")</x:f>
        <x:v>13</x:v>
      </x:c>
      <x:c r="N111" s="185" t="n">
        <x:f>ROUND(M111*I111,2)</x:f>
        <x:v>78</x:v>
      </x:c>
      <x:c r="O111" s="185" t="n">
        <x:f>ROUND(L111-N111,2)</x:f>
        <x:v>108.24</x:v>
      </x:c>
      <x:c r="P111" s="166" t="str">
        <x:v>微信支付</x:v>
      </x:c>
      <x:c r="Q111" s="169" t="str"/>
    </x:row>
    <x:row r="112">
      <x:c r="A112" s="165" t="n">
        <x:v>46250</x:v>
      </x:c>
      <x:c r="B112" s="166" t="str">
        <x:v>S001</x:v>
      </x:c>
      <x:c r="C112" s="182" t="str">
        <x:f>IFERROR(INDEX('门店主数据'!$B$5:$B$8,MATCH(B112,'门店主数据'!$A$5:$A$8,0)),"")</x:f>
        <x:v>人民广场店</x:v>
      </x:c>
      <x:c r="D112" s="166" t="str">
        <x:v>P012</x:v>
      </x:c>
      <x:c r="E112" s="182" t="str">
        <x:f>IFERROR(INDEX('商品主数据'!$B$5:$B$16,MATCH(D112,'商品主数据'!$A$5:$A$16,0)),"")</x:f>
        <x:v>燕麦奶加料</x:v>
      </x:c>
      <x:c r="F112" s="182" t="str">
        <x:f>IFERROR(INDEX('商品主数据'!$C$5:$C$16,MATCH(D112,'商品主数据'!$A$5:$A$16,0)),"")</x:f>
        <x:v>加料</x:v>
      </x:c>
      <x:c r="G112" s="185" t="n">
        <x:f>IFERROR(INDEX('商品主数据'!$E$5:$E$16,MATCH(D112,'商品主数据'!$A$5:$A$16,0)),"")</x:f>
        <x:v>5</x:v>
      </x:c>
      <x:c r="H112" s="167" t="n">
        <x:v>1</x:v>
      </x:c>
      <x:c r="I112" s="167" t="n">
        <x:v>4</x:v>
      </x:c>
      <x:c r="J112" s="185" t="n">
        <x:f>ROUND(G112*I112,2)</x:f>
        <x:v>20</x:v>
      </x:c>
      <x:c r="K112" s="168" t="n">
        <x:v>0.6</x:v>
      </x:c>
      <x:c r="L112" s="185" t="n">
        <x:f>ROUND(J112-K112,2)</x:f>
        <x:v>19.4</x:v>
      </x:c>
      <x:c r="M112" s="185" t="n">
        <x:f>IFERROR(INDEX('商品主数据'!$F$5:$F$16,MATCH(D112,'商品主数据'!$A$5:$A$16,0)),"")</x:f>
        <x:v>1.8</x:v>
      </x:c>
      <x:c r="N112" s="185" t="n">
        <x:f>ROUND(M112*I112,2)</x:f>
        <x:v>7.2</x:v>
      </x:c>
      <x:c r="O112" s="185" t="n">
        <x:f>ROUND(L112-N112,2)</x:f>
        <x:v>12.2</x:v>
      </x:c>
      <x:c r="P112" s="166" t="str">
        <x:v>支付宝</x:v>
      </x:c>
      <x:c r="Q112" s="169" t="str"/>
    </x:row>
    <x:row r="113">
      <x:c r="A113" s="165" t="n">
        <x:v>46250</x:v>
      </x:c>
      <x:c r="B113" s="166" t="str">
        <x:v>S002</x:v>
      </x:c>
      <x:c r="C113" s="182" t="str">
        <x:f>IFERROR(INDEX('门店主数据'!$B$5:$B$8,MATCH(B113,'门店主数据'!$A$5:$A$8,0)),"")</x:f>
        <x:v>滨江店</x:v>
      </x:c>
      <x:c r="D113" s="166" t="str">
        <x:v>P001</x:v>
      </x:c>
      <x:c r="E113" s="182" t="str">
        <x:f>IFERROR(INDEX('商品主数据'!$B$5:$B$16,MATCH(D113,'商品主数据'!$A$5:$A$16,0)),"")</x:f>
        <x:v>浓缩咖啡</x:v>
      </x:c>
      <x:c r="F113" s="182" t="str">
        <x:f>IFERROR(INDEX('商品主数据'!$C$5:$C$16,MATCH(D113,'商品主数据'!$A$5:$A$16,0)),"")</x:f>
        <x:v>咖啡</x:v>
      </x:c>
      <x:c r="G113" s="185" t="n">
        <x:f>IFERROR(INDEX('商品主数据'!$E$5:$E$16,MATCH(D113,'商品主数据'!$A$5:$A$16,0)),"")</x:f>
        <x:v>22</x:v>
      </x:c>
      <x:c r="H113" s="167" t="n">
        <x:v>6</x:v>
      </x:c>
      <x:c r="I113" s="167" t="n">
        <x:v>8</x:v>
      </x:c>
      <x:c r="J113" s="185" t="n">
        <x:f>ROUND(G113*I113,2)</x:f>
        <x:v>176</x:v>
      </x:c>
      <x:c r="K113" s="168" t="n">
        <x:v>5.28</x:v>
      </x:c>
      <x:c r="L113" s="185" t="n">
        <x:f>ROUND(J113-K113,2)</x:f>
        <x:v>170.72</x:v>
      </x:c>
      <x:c r="M113" s="185" t="n">
        <x:f>IFERROR(INDEX('商品主数据'!$F$5:$F$16,MATCH(D113,'商品主数据'!$A$5:$A$16,0)),"")</x:f>
        <x:v>5.5</x:v>
      </x:c>
      <x:c r="N113" s="185" t="n">
        <x:f>ROUND(M113*I113,2)</x:f>
        <x:v>44</x:v>
      </x:c>
      <x:c r="O113" s="185" t="n">
        <x:f>ROUND(L113-N113,2)</x:f>
        <x:v>126.72</x:v>
      </x:c>
      <x:c r="P113" s="166" t="str">
        <x:v>现金</x:v>
      </x:c>
      <x:c r="Q113" s="169" t="str"/>
    </x:row>
    <x:row r="114">
      <x:c r="A114" s="165" t="n">
        <x:v>46250</x:v>
      </x:c>
      <x:c r="B114" s="166" t="str">
        <x:v>S002</x:v>
      </x:c>
      <x:c r="C114" s="182" t="str">
        <x:f>IFERROR(INDEX('门店主数据'!$B$5:$B$8,MATCH(B114,'门店主数据'!$A$5:$A$8,0)),"")</x:f>
        <x:v>滨江店</x:v>
      </x:c>
      <x:c r="D114" s="166" t="str">
        <x:v>P002</x:v>
      </x:c>
      <x:c r="E114" s="182" t="str">
        <x:f>IFERROR(INDEX('商品主数据'!$B$5:$B$16,MATCH(D114,'商品主数据'!$A$5:$A$16,0)),"")</x:f>
        <x:v>美式咖啡</x:v>
      </x:c>
      <x:c r="F114" s="182" t="str">
        <x:f>IFERROR(INDEX('商品主数据'!$C$5:$C$16,MATCH(D114,'商品主数据'!$A$5:$A$16,0)),"")</x:f>
        <x:v>咖啡</x:v>
      </x:c>
      <x:c r="G114" s="185" t="n">
        <x:f>IFERROR(INDEX('商品主数据'!$E$5:$E$16,MATCH(D114,'商品主数据'!$A$5:$A$16,0)),"")</x:f>
        <x:v>26</x:v>
      </x:c>
      <x:c r="H114" s="167" t="n">
        <x:v>16</x:v>
      </x:c>
      <x:c r="I114" s="167" t="n">
        <x:v>20</x:v>
      </x:c>
      <x:c r="J114" s="185" t="n">
        <x:f>ROUND(G114*I114,2)</x:f>
        <x:v>520</x:v>
      </x:c>
      <x:c r="K114" s="168" t="n">
        <x:v>15.6</x:v>
      </x:c>
      <x:c r="L114" s="185" t="n">
        <x:f>ROUND(J114-K114,2)</x:f>
        <x:v>504.4</x:v>
      </x:c>
      <x:c r="M114" s="185" t="n">
        <x:f>IFERROR(INDEX('商品主数据'!$F$5:$F$16,MATCH(D114,'商品主数据'!$A$5:$A$16,0)),"")</x:f>
        <x:v>6</x:v>
      </x:c>
      <x:c r="N114" s="185" t="n">
        <x:f>ROUND(M114*I114,2)</x:f>
        <x:v>120</x:v>
      </x:c>
      <x:c r="O114" s="185" t="n">
        <x:f>ROUND(L114-N114,2)</x:f>
        <x:v>384.4</x:v>
      </x:c>
      <x:c r="P114" s="166" t="str">
        <x:v>微信支付</x:v>
      </x:c>
      <x:c r="Q114" s="169" t="str"/>
    </x:row>
    <x:row r="115">
      <x:c r="A115" s="165" t="n">
        <x:v>46250</x:v>
      </x:c>
      <x:c r="B115" s="166" t="str">
        <x:v>S002</x:v>
      </x:c>
      <x:c r="C115" s="182" t="str">
        <x:f>IFERROR(INDEX('门店主数据'!$B$5:$B$8,MATCH(B115,'门店主数据'!$A$5:$A$8,0)),"")</x:f>
        <x:v>滨江店</x:v>
      </x:c>
      <x:c r="D115" s="166" t="str">
        <x:v>P003</x:v>
      </x:c>
      <x:c r="E115" s="182" t="str">
        <x:f>IFERROR(INDEX('商品主数据'!$B$5:$B$16,MATCH(D115,'商品主数据'!$A$5:$A$16,0)),"")</x:f>
        <x:v>拿铁咖啡</x:v>
      </x:c>
      <x:c r="F115" s="182" t="str">
        <x:f>IFERROR(INDEX('商品主数据'!$C$5:$C$16,MATCH(D115,'商品主数据'!$A$5:$A$16,0)),"")</x:f>
        <x:v>咖啡</x:v>
      </x:c>
      <x:c r="G115" s="185" t="n">
        <x:f>IFERROR(INDEX('商品主数据'!$E$5:$E$16,MATCH(D115,'商品主数据'!$A$5:$A$16,0)),"")</x:f>
        <x:v>32</x:v>
      </x:c>
      <x:c r="H115" s="167" t="n">
        <x:v>12</x:v>
      </x:c>
      <x:c r="I115" s="167" t="n">
        <x:v>16</x:v>
      </x:c>
      <x:c r="J115" s="185" t="n">
        <x:f>ROUND(G115*I115,2)</x:f>
        <x:v>512</x:v>
      </x:c>
      <x:c r="K115" s="168" t="n">
        <x:v>40.96</x:v>
      </x:c>
      <x:c r="L115" s="185" t="n">
        <x:f>ROUND(J115-K115,2)</x:f>
        <x:v>471.04</x:v>
      </x:c>
      <x:c r="M115" s="185" t="n">
        <x:f>IFERROR(INDEX('商品主数据'!$F$5:$F$16,MATCH(D115,'商品主数据'!$A$5:$A$16,0)),"")</x:f>
        <x:v>8.5</x:v>
      </x:c>
      <x:c r="N115" s="185" t="n">
        <x:f>ROUND(M115*I115,2)</x:f>
        <x:v>136</x:v>
      </x:c>
      <x:c r="O115" s="185" t="n">
        <x:f>ROUND(L115-N115,2)</x:f>
        <x:v>335.04</x:v>
      </x:c>
      <x:c r="P115" s="166" t="str">
        <x:v>支付宝</x:v>
      </x:c>
      <x:c r="Q115" s="169" t="str">
        <x:v>新品推广测试</x:v>
      </x:c>
    </x:row>
    <x:row r="116">
      <x:c r="A116" s="165" t="n">
        <x:v>46250</x:v>
      </x:c>
      <x:c r="B116" s="166" t="str">
        <x:v>S002</x:v>
      </x:c>
      <x:c r="C116" s="182" t="str">
        <x:f>IFERROR(INDEX('门店主数据'!$B$5:$B$8,MATCH(B116,'门店主数据'!$A$5:$A$8,0)),"")</x:f>
        <x:v>滨江店</x:v>
      </x:c>
      <x:c r="D116" s="166" t="str">
        <x:v>P004</x:v>
      </x:c>
      <x:c r="E116" s="182" t="str">
        <x:f>IFERROR(INDEX('商品主数据'!$B$5:$B$16,MATCH(D116,'商品主数据'!$A$5:$A$16,0)),"")</x:f>
        <x:v>卡布奇诺</x:v>
      </x:c>
      <x:c r="F116" s="182" t="str">
        <x:f>IFERROR(INDEX('商品主数据'!$C$5:$C$16,MATCH(D116,'商品主数据'!$A$5:$A$16,0)),"")</x:f>
        <x:v>咖啡</x:v>
      </x:c>
      <x:c r="G116" s="185" t="n">
        <x:f>IFERROR(INDEX('商品主数据'!$E$5:$E$16,MATCH(D116,'商品主数据'!$A$5:$A$16,0)),"")</x:f>
        <x:v>32</x:v>
      </x:c>
      <x:c r="H116" s="167" t="n">
        <x:v>6</x:v>
      </x:c>
      <x:c r="I116" s="167" t="n">
        <x:v>9</x:v>
      </x:c>
      <x:c r="J116" s="185" t="n">
        <x:f>ROUND(G116*I116,2)</x:f>
        <x:v>288</x:v>
      </x:c>
      <x:c r="K116" s="168" t="n">
        <x:v>8.64</x:v>
      </x:c>
      <x:c r="L116" s="185" t="n">
        <x:f>ROUND(J116-K116,2)</x:f>
        <x:v>279.36</x:v>
      </x:c>
      <x:c r="M116" s="185" t="n">
        <x:f>IFERROR(INDEX('商品主数据'!$F$5:$F$16,MATCH(D116,'商品主数据'!$A$5:$A$16,0)),"")</x:f>
        <x:v>8.5</x:v>
      </x:c>
      <x:c r="N116" s="185" t="n">
        <x:f>ROUND(M116*I116,2)</x:f>
        <x:v>76.5</x:v>
      </x:c>
      <x:c r="O116" s="185" t="n">
        <x:f>ROUND(L116-N116,2)</x:f>
        <x:v>202.86</x:v>
      </x:c>
      <x:c r="P116" s="166" t="str">
        <x:v>银行卡</x:v>
      </x:c>
      <x:c r="Q116" s="169" t="str"/>
    </x:row>
    <x:row r="117">
      <x:c r="A117" s="165" t="n">
        <x:v>46250</x:v>
      </x:c>
      <x:c r="B117" s="166" t="str">
        <x:v>S002</x:v>
      </x:c>
      <x:c r="C117" s="182" t="str">
        <x:f>IFERROR(INDEX('门店主数据'!$B$5:$B$8,MATCH(B117,'门店主数据'!$A$5:$A$8,0)),"")</x:f>
        <x:v>滨江店</x:v>
      </x:c>
      <x:c r="D117" s="166" t="str">
        <x:v>P005</x:v>
      </x:c>
      <x:c r="E117" s="182" t="str">
        <x:f>IFERROR(INDEX('商品主数据'!$B$5:$B$16,MATCH(D117,'商品主数据'!$A$5:$A$16,0)),"")</x:f>
        <x:v>摩卡咖啡</x:v>
      </x:c>
      <x:c r="F117" s="182" t="str">
        <x:f>IFERROR(INDEX('商品主数据'!$C$5:$C$16,MATCH(D117,'商品主数据'!$A$5:$A$16,0)),"")</x:f>
        <x:v>咖啡</x:v>
      </x:c>
      <x:c r="G117" s="185" t="n">
        <x:f>IFERROR(INDEX('商品主数据'!$E$5:$E$16,MATCH(D117,'商品主数据'!$A$5:$A$16,0)),"")</x:f>
        <x:v>36</x:v>
      </x:c>
      <x:c r="H117" s="167" t="n">
        <x:v>5</x:v>
      </x:c>
      <x:c r="I117" s="167" t="n">
        <x:v>7</x:v>
      </x:c>
      <x:c r="J117" s="185" t="n">
        <x:f>ROUND(G117*I117,2)</x:f>
        <x:v>252</x:v>
      </x:c>
      <x:c r="K117" s="168" t="n">
        <x:v>7.56</x:v>
      </x:c>
      <x:c r="L117" s="185" t="n">
        <x:f>ROUND(J117-K117,2)</x:f>
        <x:v>244.44</x:v>
      </x:c>
      <x:c r="M117" s="185" t="n">
        <x:f>IFERROR(INDEX('商品主数据'!$F$5:$F$16,MATCH(D117,'商品主数据'!$A$5:$A$16,0)),"")</x:f>
        <x:v>10</x:v>
      </x:c>
      <x:c r="N117" s="185" t="n">
        <x:f>ROUND(M117*I117,2)</x:f>
        <x:v>70</x:v>
      </x:c>
      <x:c r="O117" s="185" t="n">
        <x:f>ROUND(L117-N117,2)</x:f>
        <x:v>174.44</x:v>
      </x:c>
      <x:c r="P117" s="166" t="str">
        <x:v>现金</x:v>
      </x:c>
      <x:c r="Q117" s="169" t="str"/>
    </x:row>
    <x:row r="118">
      <x:c r="A118" s="165" t="n">
        <x:v>46250</x:v>
      </x:c>
      <x:c r="B118" s="166" t="str">
        <x:v>S002</x:v>
      </x:c>
      <x:c r="C118" s="182" t="str">
        <x:f>IFERROR(INDEX('门店主数据'!$B$5:$B$8,MATCH(B118,'门店主数据'!$A$5:$A$8,0)),"")</x:f>
        <x:v>滨江店</x:v>
      </x:c>
      <x:c r="D118" s="166" t="str">
        <x:v>P006</x:v>
      </x:c>
      <x:c r="E118" s="182" t="str">
        <x:f>IFERROR(INDEX('商品主数据'!$B$5:$B$16,MATCH(D118,'商品主数据'!$A$5:$A$16,0)),"")</x:f>
        <x:v>冷萃咖啡</x:v>
      </x:c>
      <x:c r="F118" s="182" t="str">
        <x:f>IFERROR(INDEX('商品主数据'!$C$5:$C$16,MATCH(D118,'商品主数据'!$A$5:$A$16,0)),"")</x:f>
        <x:v>咖啡</x:v>
      </x:c>
      <x:c r="G118" s="185" t="n">
        <x:f>IFERROR(INDEX('商品主数据'!$E$5:$E$16,MATCH(D118,'商品主数据'!$A$5:$A$16,0)),"")</x:f>
        <x:v>34</x:v>
      </x:c>
      <x:c r="H118" s="167" t="n">
        <x:v>7</x:v>
      </x:c>
      <x:c r="I118" s="167" t="n">
        <x:v>9</x:v>
      </x:c>
      <x:c r="J118" s="185" t="n">
        <x:f>ROUND(G118*I118,2)</x:f>
        <x:v>306</x:v>
      </x:c>
      <x:c r="K118" s="168" t="n">
        <x:v>9.18</x:v>
      </x:c>
      <x:c r="L118" s="185" t="n">
        <x:f>ROUND(J118-K118,2)</x:f>
        <x:v>296.82</x:v>
      </x:c>
      <x:c r="M118" s="185" t="n">
        <x:f>IFERROR(INDEX('商品主数据'!$F$5:$F$16,MATCH(D118,'商品主数据'!$A$5:$A$16,0)),"")</x:f>
        <x:v>9.5</x:v>
      </x:c>
      <x:c r="N118" s="185" t="n">
        <x:f>ROUND(M118*I118,2)</x:f>
        <x:v>85.5</x:v>
      </x:c>
      <x:c r="O118" s="185" t="n">
        <x:f>ROUND(L118-N118,2)</x:f>
        <x:v>211.32</x:v>
      </x:c>
      <x:c r="P118" s="166" t="str">
        <x:v>微信支付</x:v>
      </x:c>
      <x:c r="Q118" s="169" t="str"/>
    </x:row>
    <x:row r="119">
      <x:c r="A119" s="165" t="n">
        <x:v>46250</x:v>
      </x:c>
      <x:c r="B119" s="166" t="str">
        <x:v>S002</x:v>
      </x:c>
      <x:c r="C119" s="182" t="str">
        <x:f>IFERROR(INDEX('门店主数据'!$B$5:$B$8,MATCH(B119,'门店主数据'!$A$5:$A$8,0)),"")</x:f>
        <x:v>滨江店</x:v>
      </x:c>
      <x:c r="D119" s="166" t="str">
        <x:v>P007</x:v>
      </x:c>
      <x:c r="E119" s="182" t="str">
        <x:f>IFERROR(INDEX('商品主数据'!$B$5:$B$16,MATCH(D119,'商品主数据'!$A$5:$A$16,0)),"")</x:f>
        <x:v>抹茶拿铁</x:v>
      </x:c>
      <x:c r="F119" s="182" t="str">
        <x:f>IFERROR(INDEX('商品主数据'!$C$5:$C$16,MATCH(D119,'商品主数据'!$A$5:$A$16,0)),"")</x:f>
        <x:v>茶饮</x:v>
      </x:c>
      <x:c r="G119" s="185" t="n">
        <x:f>IFERROR(INDEX('商品主数据'!$E$5:$E$16,MATCH(D119,'商品主数据'!$A$5:$A$16,0)),"")</x:f>
        <x:v>34</x:v>
      </x:c>
      <x:c r="H119" s="167" t="n">
        <x:v>3</x:v>
      </x:c>
      <x:c r="I119" s="167" t="n">
        <x:v>4</x:v>
      </x:c>
      <x:c r="J119" s="185" t="n">
        <x:f>ROUND(G119*I119,2)</x:f>
        <x:v>136</x:v>
      </x:c>
      <x:c r="K119" s="168" t="n">
        <x:v>4.08</x:v>
      </x:c>
      <x:c r="L119" s="185" t="n">
        <x:f>ROUND(J119-K119,2)</x:f>
        <x:v>131.92</x:v>
      </x:c>
      <x:c r="M119" s="185" t="n">
        <x:f>IFERROR(INDEX('商品主数据'!$F$5:$F$16,MATCH(D119,'商品主数据'!$A$5:$A$16,0)),"")</x:f>
        <x:v>9</x:v>
      </x:c>
      <x:c r="N119" s="185" t="n">
        <x:f>ROUND(M119*I119,2)</x:f>
        <x:v>36</x:v>
      </x:c>
      <x:c r="O119" s="185" t="n">
        <x:f>ROUND(L119-N119,2)</x:f>
        <x:v>95.92</x:v>
      </x:c>
      <x:c r="P119" s="166" t="str">
        <x:v>支付宝</x:v>
      </x:c>
      <x:c r="Q119" s="169" t="str"/>
    </x:row>
    <x:row r="120">
      <x:c r="A120" s="165" t="n">
        <x:v>46250</x:v>
      </x:c>
      <x:c r="B120" s="166" t="str">
        <x:v>S002</x:v>
      </x:c>
      <x:c r="C120" s="182" t="str">
        <x:f>IFERROR(INDEX('门店主数据'!$B$5:$B$8,MATCH(B120,'门店主数据'!$A$5:$A$8,0)),"")</x:f>
        <x:v>滨江店</x:v>
      </x:c>
      <x:c r="D120" s="166" t="str">
        <x:v>P008</x:v>
      </x:c>
      <x:c r="E120" s="182" t="str">
        <x:f>IFERROR(INDEX('商品主数据'!$B$5:$B$16,MATCH(D120,'商品主数据'!$A$5:$A$16,0)),"")</x:f>
        <x:v>海盐芝士蛋糕</x:v>
      </x:c>
      <x:c r="F120" s="182" t="str">
        <x:f>IFERROR(INDEX('商品主数据'!$C$5:$C$16,MATCH(D120,'商品主数据'!$A$5:$A$16,0)),"")</x:f>
        <x:v>烘焙</x:v>
      </x:c>
      <x:c r="G120" s="185" t="n">
        <x:f>IFERROR(INDEX('商品主数据'!$E$5:$E$16,MATCH(D120,'商品主数据'!$A$5:$A$16,0)),"")</x:f>
        <x:v>38</x:v>
      </x:c>
      <x:c r="H120" s="167" t="n">
        <x:v>2</x:v>
      </x:c>
      <x:c r="I120" s="167" t="n">
        <x:v>4</x:v>
      </x:c>
      <x:c r="J120" s="185" t="n">
        <x:f>ROUND(G120*I120,2)</x:f>
        <x:v>152</x:v>
      </x:c>
      <x:c r="K120" s="168" t="n">
        <x:v>12.16</x:v>
      </x:c>
      <x:c r="L120" s="185" t="n">
        <x:f>ROUND(J120-K120,2)</x:f>
        <x:v>139.84</x:v>
      </x:c>
      <x:c r="M120" s="185" t="n">
        <x:f>IFERROR(INDEX('商品主数据'!$F$5:$F$16,MATCH(D120,'商品主数据'!$A$5:$A$16,0)),"")</x:f>
        <x:v>16</x:v>
      </x:c>
      <x:c r="N120" s="185" t="n">
        <x:f>ROUND(M120*I120,2)</x:f>
        <x:v>64</x:v>
      </x:c>
      <x:c r="O120" s="185" t="n">
        <x:f>ROUND(L120-N120,2)</x:f>
        <x:v>75.84</x:v>
      </x:c>
      <x:c r="P120" s="166" t="str">
        <x:v>银行卡</x:v>
      </x:c>
      <x:c r="Q120" s="169" t="str"/>
    </x:row>
    <x:row r="121">
      <x:c r="A121" s="165" t="n">
        <x:v>46250</x:v>
      </x:c>
      <x:c r="B121" s="166" t="str">
        <x:v>S002</x:v>
      </x:c>
      <x:c r="C121" s="182" t="str">
        <x:f>IFERROR(INDEX('门店主数据'!$B$5:$B$8,MATCH(B121,'门店主数据'!$A$5:$A$8,0)),"")</x:f>
        <x:v>滨江店</x:v>
      </x:c>
      <x:c r="D121" s="166" t="str">
        <x:v>P009</x:v>
      </x:c>
      <x:c r="E121" s="182" t="str">
        <x:f>IFERROR(INDEX('商品主数据'!$B$5:$B$16,MATCH(D121,'商品主数据'!$A$5:$A$16,0)),"")</x:f>
        <x:v>黄油可颂</x:v>
      </x:c>
      <x:c r="F121" s="182" t="str">
        <x:f>IFERROR(INDEX('商品主数据'!$C$5:$C$16,MATCH(D121,'商品主数据'!$A$5:$A$16,0)),"")</x:f>
        <x:v>烘焙</x:v>
      </x:c>
      <x:c r="G121" s="185" t="n">
        <x:f>IFERROR(INDEX('商品主数据'!$E$5:$E$16,MATCH(D121,'商品主数据'!$A$5:$A$16,0)),"")</x:f>
        <x:v>18</x:v>
      </x:c>
      <x:c r="H121" s="167" t="n">
        <x:v>9</x:v>
      </x:c>
      <x:c r="I121" s="167" t="n">
        <x:v>12</x:v>
      </x:c>
      <x:c r="J121" s="185" t="n">
        <x:f>ROUND(G121*I121,2)</x:f>
        <x:v>216</x:v>
      </x:c>
      <x:c r="K121" s="168" t="n">
        <x:v>6.48</x:v>
      </x:c>
      <x:c r="L121" s="185" t="n">
        <x:f>ROUND(J121-K121,2)</x:f>
        <x:v>209.52</x:v>
      </x:c>
      <x:c r="M121" s="185" t="n">
        <x:f>IFERROR(INDEX('商品主数据'!$F$5:$F$16,MATCH(D121,'商品主数据'!$A$5:$A$16,0)),"")</x:f>
        <x:v>6</x:v>
      </x:c>
      <x:c r="N121" s="185" t="n">
        <x:f>ROUND(M121*I121,2)</x:f>
        <x:v>72</x:v>
      </x:c>
      <x:c r="O121" s="185" t="n">
        <x:f>ROUND(L121-N121,2)</x:f>
        <x:v>137.52</x:v>
      </x:c>
      <x:c r="P121" s="166" t="str">
        <x:v>现金</x:v>
      </x:c>
      <x:c r="Q121" s="169" t="str"/>
    </x:row>
    <x:row r="122">
      <x:c r="A122" s="165" t="n">
        <x:v>46250</x:v>
      </x:c>
      <x:c r="B122" s="166" t="str">
        <x:v>S002</x:v>
      </x:c>
      <x:c r="C122" s="182" t="str">
        <x:f>IFERROR(INDEX('门店主数据'!$B$5:$B$8,MATCH(B122,'门店主数据'!$A$5:$A$8,0)),"")</x:f>
        <x:v>滨江店</x:v>
      </x:c>
      <x:c r="D122" s="166" t="str">
        <x:v>P010</x:v>
      </x:c>
      <x:c r="E122" s="182" t="str">
        <x:f>IFERROR(INDEX('商品主数据'!$B$5:$B$16,MATCH(D122,'商品主数据'!$A$5:$A$16,0)),"")</x:f>
        <x:v>蓝莓玛芬</x:v>
      </x:c>
      <x:c r="F122" s="182" t="str">
        <x:f>IFERROR(INDEX('商品主数据'!$C$5:$C$16,MATCH(D122,'商品主数据'!$A$5:$A$16,0)),"")</x:f>
        <x:v>烘焙</x:v>
      </x:c>
      <x:c r="G122" s="185" t="n">
        <x:f>IFERROR(INDEX('商品主数据'!$E$5:$E$16,MATCH(D122,'商品主数据'!$A$5:$A$16,0)),"")</x:f>
        <x:v>16</x:v>
      </x:c>
      <x:c r="H122" s="167" t="n">
        <x:v>4</x:v>
      </x:c>
      <x:c r="I122" s="167" t="n">
        <x:v>7</x:v>
      </x:c>
      <x:c r="J122" s="185" t="n">
        <x:f>ROUND(G122*I122,2)</x:f>
        <x:v>112</x:v>
      </x:c>
      <x:c r="K122" s="168" t="n">
        <x:v>3.36</x:v>
      </x:c>
      <x:c r="L122" s="185" t="n">
        <x:f>ROUND(J122-K122,2)</x:f>
        <x:v>108.64</x:v>
      </x:c>
      <x:c r="M122" s="185" t="n">
        <x:f>IFERROR(INDEX('商品主数据'!$F$5:$F$16,MATCH(D122,'商品主数据'!$A$5:$A$16,0)),"")</x:f>
        <x:v>5</x:v>
      </x:c>
      <x:c r="N122" s="185" t="n">
        <x:f>ROUND(M122*I122,2)</x:f>
        <x:v>35</x:v>
      </x:c>
      <x:c r="O122" s="185" t="n">
        <x:f>ROUND(L122-N122,2)</x:f>
        <x:v>73.64</x:v>
      </x:c>
      <x:c r="P122" s="166" t="str">
        <x:v>微信支付</x:v>
      </x:c>
      <x:c r="Q122" s="169" t="str"/>
    </x:row>
    <x:row r="123">
      <x:c r="A123" s="165" t="n">
        <x:v>46250</x:v>
      </x:c>
      <x:c r="B123" s="166" t="str">
        <x:v>S002</x:v>
      </x:c>
      <x:c r="C123" s="182" t="str">
        <x:f>IFERROR(INDEX('门店主数据'!$B$5:$B$8,MATCH(B123,'门店主数据'!$A$5:$A$8,0)),"")</x:f>
        <x:v>滨江店</x:v>
      </x:c>
      <x:c r="D123" s="166" t="str">
        <x:v>P011</x:v>
      </x:c>
      <x:c r="E123" s="182" t="str">
        <x:f>IFERROR(INDEX('商品主数据'!$B$5:$B$16,MATCH(D123,'商品主数据'!$A$5:$A$16,0)),"")</x:f>
        <x:v>火腿芝士三明治</x:v>
      </x:c>
      <x:c r="F123" s="182" t="str">
        <x:f>IFERROR(INDEX('商品主数据'!$C$5:$C$16,MATCH(D123,'商品主数据'!$A$5:$A$16,0)),"")</x:f>
        <x:v>轻食</x:v>
      </x:c>
      <x:c r="G123" s="185" t="n">
        <x:f>IFERROR(INDEX('商品主数据'!$E$5:$E$16,MATCH(D123,'商品主数据'!$A$5:$A$16,0)),"")</x:f>
        <x:v>32</x:v>
      </x:c>
      <x:c r="H123" s="167" t="n">
        <x:v>3</x:v>
      </x:c>
      <x:c r="I123" s="167" t="n">
        <x:v>5</x:v>
      </x:c>
      <x:c r="J123" s="185" t="n">
        <x:f>ROUND(G123*I123,2)</x:f>
        <x:v>160</x:v>
      </x:c>
      <x:c r="K123" s="168" t="n">
        <x:v>4.8</x:v>
      </x:c>
      <x:c r="L123" s="185" t="n">
        <x:f>ROUND(J123-K123,2)</x:f>
        <x:v>155.2</x:v>
      </x:c>
      <x:c r="M123" s="185" t="n">
        <x:f>IFERROR(INDEX('商品主数据'!$F$5:$F$16,MATCH(D123,'商品主数据'!$A$5:$A$16,0)),"")</x:f>
        <x:v>13</x:v>
      </x:c>
      <x:c r="N123" s="185" t="n">
        <x:f>ROUND(M123*I123,2)</x:f>
        <x:v>65</x:v>
      </x:c>
      <x:c r="O123" s="185" t="n">
        <x:f>ROUND(L123-N123,2)</x:f>
        <x:v>90.2</x:v>
      </x:c>
      <x:c r="P123" s="166" t="str">
        <x:v>支付宝</x:v>
      </x:c>
      <x:c r="Q123" s="169" t="str"/>
    </x:row>
    <x:row r="124">
      <x:c r="A124" s="165" t="n">
        <x:v>46250</x:v>
      </x:c>
      <x:c r="B124" s="166" t="str">
        <x:v>S002</x:v>
      </x:c>
      <x:c r="C124" s="182" t="str">
        <x:f>IFERROR(INDEX('门店主数据'!$B$5:$B$8,MATCH(B124,'门店主数据'!$A$5:$A$8,0)),"")</x:f>
        <x:v>滨江店</x:v>
      </x:c>
      <x:c r="D124" s="166" t="str">
        <x:v>P012</x:v>
      </x:c>
      <x:c r="E124" s="182" t="str">
        <x:f>IFERROR(INDEX('商品主数据'!$B$5:$B$16,MATCH(D124,'商品主数据'!$A$5:$A$16,0)),"")</x:f>
        <x:v>燕麦奶加料</x:v>
      </x:c>
      <x:c r="F124" s="182" t="str">
        <x:f>IFERROR(INDEX('商品主数据'!$C$5:$C$16,MATCH(D124,'商品主数据'!$A$5:$A$16,0)),"")</x:f>
        <x:v>加料</x:v>
      </x:c>
      <x:c r="G124" s="185" t="n">
        <x:f>IFERROR(INDEX('商品主数据'!$E$5:$E$16,MATCH(D124,'商品主数据'!$A$5:$A$16,0)),"")</x:f>
        <x:v>5</x:v>
      </x:c>
      <x:c r="H124" s="167" t="n">
        <x:v>1</x:v>
      </x:c>
      <x:c r="I124" s="167" t="n">
        <x:v>4</x:v>
      </x:c>
      <x:c r="J124" s="185" t="n">
        <x:f>ROUND(G124*I124,2)</x:f>
        <x:v>20</x:v>
      </x:c>
      <x:c r="K124" s="168" t="n">
        <x:v>0.6</x:v>
      </x:c>
      <x:c r="L124" s="185" t="n">
        <x:f>ROUND(J124-K124,2)</x:f>
        <x:v>19.4</x:v>
      </x:c>
      <x:c r="M124" s="185" t="n">
        <x:f>IFERROR(INDEX('商品主数据'!$F$5:$F$16,MATCH(D124,'商品主数据'!$A$5:$A$16,0)),"")</x:f>
        <x:v>1.8</x:v>
      </x:c>
      <x:c r="N124" s="185" t="n">
        <x:f>ROUND(M124*I124,2)</x:f>
        <x:v>7.2</x:v>
      </x:c>
      <x:c r="O124" s="185" t="n">
        <x:f>ROUND(L124-N124,2)</x:f>
        <x:v>12.2</x:v>
      </x:c>
      <x:c r="P124" s="166" t="str">
        <x:v>银行卡</x:v>
      </x:c>
      <x:c r="Q124" s="169" t="str"/>
    </x:row>
    <x:row r="125">
      <x:c r="A125" s="165" t="n">
        <x:v>46250</x:v>
      </x:c>
      <x:c r="B125" s="166" t="str">
        <x:v>S003</x:v>
      </x:c>
      <x:c r="C125" s="182" t="str">
        <x:f>IFERROR(INDEX('门店主数据'!$B$5:$B$8,MATCH(B125,'门店主数据'!$A$5:$A$8,0)),"")</x:f>
        <x:v>大学城店</x:v>
      </x:c>
      <x:c r="D125" s="166" t="str">
        <x:v>P001</x:v>
      </x:c>
      <x:c r="E125" s="182" t="str">
        <x:f>IFERROR(INDEX('商品主数据'!$B$5:$B$16,MATCH(D125,'商品主数据'!$A$5:$A$16,0)),"")</x:f>
        <x:v>浓缩咖啡</x:v>
      </x:c>
      <x:c r="F125" s="182" t="str">
        <x:f>IFERROR(INDEX('商品主数据'!$C$5:$C$16,MATCH(D125,'商品主数据'!$A$5:$A$16,0)),"")</x:f>
        <x:v>咖啡</x:v>
      </x:c>
      <x:c r="G125" s="185" t="n">
        <x:f>IFERROR(INDEX('商品主数据'!$E$5:$E$16,MATCH(D125,'商品主数据'!$A$5:$A$16,0)),"")</x:f>
        <x:v>22</x:v>
      </x:c>
      <x:c r="H125" s="167" t="n">
        <x:v>6</x:v>
      </x:c>
      <x:c r="I125" s="167" t="n">
        <x:v>8</x:v>
      </x:c>
      <x:c r="J125" s="185" t="n">
        <x:f>ROUND(G125*I125,2)</x:f>
        <x:v>176</x:v>
      </x:c>
      <x:c r="K125" s="168" t="n">
        <x:v>5.28</x:v>
      </x:c>
      <x:c r="L125" s="185" t="n">
        <x:f>ROUND(J125-K125,2)</x:f>
        <x:v>170.72</x:v>
      </x:c>
      <x:c r="M125" s="185" t="n">
        <x:f>IFERROR(INDEX('商品主数据'!$F$5:$F$16,MATCH(D125,'商品主数据'!$A$5:$A$16,0)),"")</x:f>
        <x:v>5.5</x:v>
      </x:c>
      <x:c r="N125" s="185" t="n">
        <x:f>ROUND(M125*I125,2)</x:f>
        <x:v>44</x:v>
      </x:c>
      <x:c r="O125" s="185" t="n">
        <x:f>ROUND(L125-N125,2)</x:f>
        <x:v>126.72</x:v>
      </x:c>
      <x:c r="P125" s="166" t="str">
        <x:v>微信支付</x:v>
      </x:c>
      <x:c r="Q125" s="169" t="str"/>
    </x:row>
    <x:row r="126">
      <x:c r="A126" s="165" t="n">
        <x:v>46250</x:v>
      </x:c>
      <x:c r="B126" s="166" t="str">
        <x:v>S003</x:v>
      </x:c>
      <x:c r="C126" s="182" t="str">
        <x:f>IFERROR(INDEX('门店主数据'!$B$5:$B$8,MATCH(B126,'门店主数据'!$A$5:$A$8,0)),"")</x:f>
        <x:v>大学城店</x:v>
      </x:c>
      <x:c r="D126" s="166" t="str">
        <x:v>P002</x:v>
      </x:c>
      <x:c r="E126" s="182" t="str">
        <x:f>IFERROR(INDEX('商品主数据'!$B$5:$B$16,MATCH(D126,'商品主数据'!$A$5:$A$16,0)),"")</x:f>
        <x:v>美式咖啡</x:v>
      </x:c>
      <x:c r="F126" s="182" t="str">
        <x:f>IFERROR(INDEX('商品主数据'!$C$5:$C$16,MATCH(D126,'商品主数据'!$A$5:$A$16,0)),"")</x:f>
        <x:v>咖啡</x:v>
      </x:c>
      <x:c r="G126" s="185" t="n">
        <x:f>IFERROR(INDEX('商品主数据'!$E$5:$E$16,MATCH(D126,'商品主数据'!$A$5:$A$16,0)),"")</x:f>
        <x:v>26</x:v>
      </x:c>
      <x:c r="H126" s="167" t="n">
        <x:v>16</x:v>
      </x:c>
      <x:c r="I126" s="167" t="n">
        <x:v>19</x:v>
      </x:c>
      <x:c r="J126" s="185" t="n">
        <x:f>ROUND(G126*I126,2)</x:f>
        <x:v>494</x:v>
      </x:c>
      <x:c r="K126" s="168" t="n">
        <x:v>39.52</x:v>
      </x:c>
      <x:c r="L126" s="185" t="n">
        <x:f>ROUND(J126-K126,2)</x:f>
        <x:v>454.48</x:v>
      </x:c>
      <x:c r="M126" s="185" t="n">
        <x:f>IFERROR(INDEX('商品主数据'!$F$5:$F$16,MATCH(D126,'商品主数据'!$A$5:$A$16,0)),"")</x:f>
        <x:v>6</x:v>
      </x:c>
      <x:c r="N126" s="185" t="n">
        <x:f>ROUND(M126*I126,2)</x:f>
        <x:v>114</x:v>
      </x:c>
      <x:c r="O126" s="185" t="n">
        <x:f>ROUND(L126-N126,2)</x:f>
        <x:v>340.48</x:v>
      </x:c>
      <x:c r="P126" s="166" t="str">
        <x:v>支付宝</x:v>
      </x:c>
      <x:c r="Q126" s="169" t="str"/>
    </x:row>
    <x:row r="127">
      <x:c r="A127" s="165" t="n">
        <x:v>46250</x:v>
      </x:c>
      <x:c r="B127" s="166" t="str">
        <x:v>S003</x:v>
      </x:c>
      <x:c r="C127" s="182" t="str">
        <x:f>IFERROR(INDEX('门店主数据'!$B$5:$B$8,MATCH(B127,'门店主数据'!$A$5:$A$8,0)),"")</x:f>
        <x:v>大学城店</x:v>
      </x:c>
      <x:c r="D127" s="166" t="str">
        <x:v>P003</x:v>
      </x:c>
      <x:c r="E127" s="182" t="str">
        <x:f>IFERROR(INDEX('商品主数据'!$B$5:$B$16,MATCH(D127,'商品主数据'!$A$5:$A$16,0)),"")</x:f>
        <x:v>拿铁咖啡</x:v>
      </x:c>
      <x:c r="F127" s="182" t="str">
        <x:f>IFERROR(INDEX('商品主数据'!$C$5:$C$16,MATCH(D127,'商品主数据'!$A$5:$A$16,0)),"")</x:f>
        <x:v>咖啡</x:v>
      </x:c>
      <x:c r="G127" s="185" t="n">
        <x:f>IFERROR(INDEX('商品主数据'!$E$5:$E$16,MATCH(D127,'商品主数据'!$A$5:$A$16,0)),"")</x:f>
        <x:v>32</x:v>
      </x:c>
      <x:c r="H127" s="167" t="n">
        <x:v>10</x:v>
      </x:c>
      <x:c r="I127" s="167" t="n">
        <x:v>13</x:v>
      </x:c>
      <x:c r="J127" s="185" t="n">
        <x:f>ROUND(G127*I127,2)</x:f>
        <x:v>416</x:v>
      </x:c>
      <x:c r="K127" s="168" t="n">
        <x:v>12.48</x:v>
      </x:c>
      <x:c r="L127" s="185" t="n">
        <x:f>ROUND(J127-K127,2)</x:f>
        <x:v>403.52</x:v>
      </x:c>
      <x:c r="M127" s="185" t="n">
        <x:f>IFERROR(INDEX('商品主数据'!$F$5:$F$16,MATCH(D127,'商品主数据'!$A$5:$A$16,0)),"")</x:f>
        <x:v>8.5</x:v>
      </x:c>
      <x:c r="N127" s="185" t="n">
        <x:f>ROUND(M127*I127,2)</x:f>
        <x:v>110.5</x:v>
      </x:c>
      <x:c r="O127" s="185" t="n">
        <x:f>ROUND(L127-N127,2)</x:f>
        <x:v>293.02</x:v>
      </x:c>
      <x:c r="P127" s="166" t="str">
        <x:v>银行卡</x:v>
      </x:c>
      <x:c r="Q127" s="169" t="str">
        <x:v>新品推广测试</x:v>
      </x:c>
    </x:row>
    <x:row r="128">
      <x:c r="A128" s="165" t="n">
        <x:v>46250</x:v>
      </x:c>
      <x:c r="B128" s="166" t="str">
        <x:v>S003</x:v>
      </x:c>
      <x:c r="C128" s="182" t="str">
        <x:f>IFERROR(INDEX('门店主数据'!$B$5:$B$8,MATCH(B128,'门店主数据'!$A$5:$A$8,0)),"")</x:f>
        <x:v>大学城店</x:v>
      </x:c>
      <x:c r="D128" s="166" t="str">
        <x:v>P004</x:v>
      </x:c>
      <x:c r="E128" s="182" t="str">
        <x:f>IFERROR(INDEX('商品主数据'!$B$5:$B$16,MATCH(D128,'商品主数据'!$A$5:$A$16,0)),"")</x:f>
        <x:v>卡布奇诺</x:v>
      </x:c>
      <x:c r="F128" s="182" t="str">
        <x:f>IFERROR(INDEX('商品主数据'!$C$5:$C$16,MATCH(D128,'商品主数据'!$A$5:$A$16,0)),"")</x:f>
        <x:v>咖啡</x:v>
      </x:c>
      <x:c r="G128" s="185" t="n">
        <x:f>IFERROR(INDEX('商品主数据'!$E$5:$E$16,MATCH(D128,'商品主数据'!$A$5:$A$16,0)),"")</x:f>
        <x:v>32</x:v>
      </x:c>
      <x:c r="H128" s="167" t="n">
        <x:v>6</x:v>
      </x:c>
      <x:c r="I128" s="167" t="n">
        <x:v>9</x:v>
      </x:c>
      <x:c r="J128" s="185" t="n">
        <x:f>ROUND(G128*I128,2)</x:f>
        <x:v>288</x:v>
      </x:c>
      <x:c r="K128" s="168" t="n">
        <x:v>8.64</x:v>
      </x:c>
      <x:c r="L128" s="185" t="n">
        <x:f>ROUND(J128-K128,2)</x:f>
        <x:v>279.36</x:v>
      </x:c>
      <x:c r="M128" s="185" t="n">
        <x:f>IFERROR(INDEX('商品主数据'!$F$5:$F$16,MATCH(D128,'商品主数据'!$A$5:$A$16,0)),"")</x:f>
        <x:v>8.5</x:v>
      </x:c>
      <x:c r="N128" s="185" t="n">
        <x:f>ROUND(M128*I128,2)</x:f>
        <x:v>76.5</x:v>
      </x:c>
      <x:c r="O128" s="185" t="n">
        <x:f>ROUND(L128-N128,2)</x:f>
        <x:v>202.86</x:v>
      </x:c>
      <x:c r="P128" s="166" t="str">
        <x:v>现金</x:v>
      </x:c>
      <x:c r="Q128" s="169" t="str"/>
    </x:row>
    <x:row r="129">
      <x:c r="A129" s="165" t="n">
        <x:v>46250</x:v>
      </x:c>
      <x:c r="B129" s="166" t="str">
        <x:v>S003</x:v>
      </x:c>
      <x:c r="C129" s="182" t="str">
        <x:f>IFERROR(INDEX('门店主数据'!$B$5:$B$8,MATCH(B129,'门店主数据'!$A$5:$A$8,0)),"")</x:f>
        <x:v>大学城店</x:v>
      </x:c>
      <x:c r="D129" s="166" t="str">
        <x:v>P005</x:v>
      </x:c>
      <x:c r="E129" s="182" t="str">
        <x:f>IFERROR(INDEX('商品主数据'!$B$5:$B$16,MATCH(D129,'商品主数据'!$A$5:$A$16,0)),"")</x:f>
        <x:v>摩卡咖啡</x:v>
      </x:c>
      <x:c r="F129" s="182" t="str">
        <x:f>IFERROR(INDEX('商品主数据'!$C$5:$C$16,MATCH(D129,'商品主数据'!$A$5:$A$16,0)),"")</x:f>
        <x:v>咖啡</x:v>
      </x:c>
      <x:c r="G129" s="185" t="n">
        <x:f>IFERROR(INDEX('商品主数据'!$E$5:$E$16,MATCH(D129,'商品主数据'!$A$5:$A$16,0)),"")</x:f>
        <x:v>36</x:v>
      </x:c>
      <x:c r="H129" s="167" t="n">
        <x:v>5</x:v>
      </x:c>
      <x:c r="I129" s="167" t="n">
        <x:v>7</x:v>
      </x:c>
      <x:c r="J129" s="185" t="n">
        <x:f>ROUND(G129*I129,2)</x:f>
        <x:v>252</x:v>
      </x:c>
      <x:c r="K129" s="168" t="n">
        <x:v>7.56</x:v>
      </x:c>
      <x:c r="L129" s="185" t="n">
        <x:f>ROUND(J129-K129,2)</x:f>
        <x:v>244.44</x:v>
      </x:c>
      <x:c r="M129" s="185" t="n">
        <x:f>IFERROR(INDEX('商品主数据'!$F$5:$F$16,MATCH(D129,'商品主数据'!$A$5:$A$16,0)),"")</x:f>
        <x:v>10</x:v>
      </x:c>
      <x:c r="N129" s="185" t="n">
        <x:f>ROUND(M129*I129,2)</x:f>
        <x:v>70</x:v>
      </x:c>
      <x:c r="O129" s="185" t="n">
        <x:f>ROUND(L129-N129,2)</x:f>
        <x:v>174.44</x:v>
      </x:c>
      <x:c r="P129" s="166" t="str">
        <x:v>微信支付</x:v>
      </x:c>
      <x:c r="Q129" s="169" t="str"/>
    </x:row>
    <x:row r="130">
      <x:c r="A130" s="165" t="n">
        <x:v>46250</x:v>
      </x:c>
      <x:c r="B130" s="166" t="str">
        <x:v>S003</x:v>
      </x:c>
      <x:c r="C130" s="182" t="str">
        <x:f>IFERROR(INDEX('门店主数据'!$B$5:$B$8,MATCH(B130,'门店主数据'!$A$5:$A$8,0)),"")</x:f>
        <x:v>大学城店</x:v>
      </x:c>
      <x:c r="D130" s="166" t="str">
        <x:v>P006</x:v>
      </x:c>
      <x:c r="E130" s="182" t="str">
        <x:f>IFERROR(INDEX('商品主数据'!$B$5:$B$16,MATCH(D130,'商品主数据'!$A$5:$A$16,0)),"")</x:f>
        <x:v>冷萃咖啡</x:v>
      </x:c>
      <x:c r="F130" s="182" t="str">
        <x:f>IFERROR(INDEX('商品主数据'!$C$5:$C$16,MATCH(D130,'商品主数据'!$A$5:$A$16,0)),"")</x:f>
        <x:v>咖啡</x:v>
      </x:c>
      <x:c r="G130" s="185" t="n">
        <x:f>IFERROR(INDEX('商品主数据'!$E$5:$E$16,MATCH(D130,'商品主数据'!$A$5:$A$16,0)),"")</x:f>
        <x:v>34</x:v>
      </x:c>
      <x:c r="H130" s="167" t="n">
        <x:v>4</x:v>
      </x:c>
      <x:c r="I130" s="167" t="n">
        <x:v>6</x:v>
      </x:c>
      <x:c r="J130" s="185" t="n">
        <x:f>ROUND(G130*I130,2)</x:f>
        <x:v>204</x:v>
      </x:c>
      <x:c r="K130" s="168" t="n">
        <x:v>6.12</x:v>
      </x:c>
      <x:c r="L130" s="185" t="n">
        <x:f>ROUND(J130-K130,2)</x:f>
        <x:v>197.88</x:v>
      </x:c>
      <x:c r="M130" s="185" t="n">
        <x:f>IFERROR(INDEX('商品主数据'!$F$5:$F$16,MATCH(D130,'商品主数据'!$A$5:$A$16,0)),"")</x:f>
        <x:v>9.5</x:v>
      </x:c>
      <x:c r="N130" s="185" t="n">
        <x:f>ROUND(M130*I130,2)</x:f>
        <x:v>57</x:v>
      </x:c>
      <x:c r="O130" s="185" t="n">
        <x:f>ROUND(L130-N130,2)</x:f>
        <x:v>140.88</x:v>
      </x:c>
      <x:c r="P130" s="166" t="str">
        <x:v>支付宝</x:v>
      </x:c>
      <x:c r="Q130" s="169" t="str"/>
    </x:row>
    <x:row r="131">
      <x:c r="A131" s="165" t="n">
        <x:v>46250</x:v>
      </x:c>
      <x:c r="B131" s="166" t="str">
        <x:v>S003</x:v>
      </x:c>
      <x:c r="C131" s="182" t="str">
        <x:f>IFERROR(INDEX('门店主数据'!$B$5:$B$8,MATCH(B131,'门店主数据'!$A$5:$A$8,0)),"")</x:f>
        <x:v>大学城店</x:v>
      </x:c>
      <x:c r="D131" s="166" t="str">
        <x:v>P007</x:v>
      </x:c>
      <x:c r="E131" s="182" t="str">
        <x:f>IFERROR(INDEX('商品主数据'!$B$5:$B$16,MATCH(D131,'商品主数据'!$A$5:$A$16,0)),"")</x:f>
        <x:v>抹茶拿铁</x:v>
      </x:c>
      <x:c r="F131" s="182" t="str">
        <x:f>IFERROR(INDEX('商品主数据'!$C$5:$C$16,MATCH(D131,'商品主数据'!$A$5:$A$16,0)),"")</x:f>
        <x:v>茶饮</x:v>
      </x:c>
      <x:c r="G131" s="185" t="n">
        <x:f>IFERROR(INDEX('商品主数据'!$E$5:$E$16,MATCH(D131,'商品主数据'!$A$5:$A$16,0)),"")</x:f>
        <x:v>34</x:v>
      </x:c>
      <x:c r="H131" s="167" t="n">
        <x:v>3</x:v>
      </x:c>
      <x:c r="I131" s="167" t="n">
        <x:v>5</x:v>
      </x:c>
      <x:c r="J131" s="185" t="n">
        <x:f>ROUND(G131*I131,2)</x:f>
        <x:v>170</x:v>
      </x:c>
      <x:c r="K131" s="168" t="n">
        <x:v>13.6</x:v>
      </x:c>
      <x:c r="L131" s="185" t="n">
        <x:f>ROUND(J131-K131,2)</x:f>
        <x:v>156.4</x:v>
      </x:c>
      <x:c r="M131" s="185" t="n">
        <x:f>IFERROR(INDEX('商品主数据'!$F$5:$F$16,MATCH(D131,'商品主数据'!$A$5:$A$16,0)),"")</x:f>
        <x:v>9</x:v>
      </x:c>
      <x:c r="N131" s="185" t="n">
        <x:f>ROUND(M131*I131,2)</x:f>
        <x:v>45</x:v>
      </x:c>
      <x:c r="O131" s="185" t="n">
        <x:f>ROUND(L131-N131,2)</x:f>
        <x:v>111.4</x:v>
      </x:c>
      <x:c r="P131" s="166" t="str">
        <x:v>银行卡</x:v>
      </x:c>
      <x:c r="Q131" s="169" t="str"/>
    </x:row>
    <x:row r="132">
      <x:c r="A132" s="165" t="n">
        <x:v>46250</x:v>
      </x:c>
      <x:c r="B132" s="166" t="str">
        <x:v>S003</x:v>
      </x:c>
      <x:c r="C132" s="182" t="str">
        <x:f>IFERROR(INDEX('门店主数据'!$B$5:$B$8,MATCH(B132,'门店主数据'!$A$5:$A$8,0)),"")</x:f>
        <x:v>大学城店</x:v>
      </x:c>
      <x:c r="D132" s="166" t="str">
        <x:v>P008</x:v>
      </x:c>
      <x:c r="E132" s="182" t="str">
        <x:f>IFERROR(INDEX('商品主数据'!$B$5:$B$16,MATCH(D132,'商品主数据'!$A$5:$A$16,0)),"")</x:f>
        <x:v>海盐芝士蛋糕</x:v>
      </x:c>
      <x:c r="F132" s="182" t="str">
        <x:f>IFERROR(INDEX('商品主数据'!$C$5:$C$16,MATCH(D132,'商品主数据'!$A$5:$A$16,0)),"")</x:f>
        <x:v>烘焙</x:v>
      </x:c>
      <x:c r="G132" s="185" t="n">
        <x:f>IFERROR(INDEX('商品主数据'!$E$5:$E$16,MATCH(D132,'商品主数据'!$A$5:$A$16,0)),"")</x:f>
        <x:v>38</x:v>
      </x:c>
      <x:c r="H132" s="167" t="n">
        <x:v>2</x:v>
      </x:c>
      <x:c r="I132" s="167" t="n">
        <x:v>5</x:v>
      </x:c>
      <x:c r="J132" s="185" t="n">
        <x:f>ROUND(G132*I132,2)</x:f>
        <x:v>190</x:v>
      </x:c>
      <x:c r="K132" s="168" t="n">
        <x:v>5.7</x:v>
      </x:c>
      <x:c r="L132" s="185" t="n">
        <x:f>ROUND(J132-K132,2)</x:f>
        <x:v>184.3</x:v>
      </x:c>
      <x:c r="M132" s="185" t="n">
        <x:f>IFERROR(INDEX('商品主数据'!$F$5:$F$16,MATCH(D132,'商品主数据'!$A$5:$A$16,0)),"")</x:f>
        <x:v>16</x:v>
      </x:c>
      <x:c r="N132" s="185" t="n">
        <x:f>ROUND(M132*I132,2)</x:f>
        <x:v>80</x:v>
      </x:c>
      <x:c r="O132" s="185" t="n">
        <x:f>ROUND(L132-N132,2)</x:f>
        <x:v>104.3</x:v>
      </x:c>
      <x:c r="P132" s="166" t="str">
        <x:v>现金</x:v>
      </x:c>
      <x:c r="Q132" s="169" t="str"/>
    </x:row>
    <x:row r="133">
      <x:c r="A133" s="165" t="n">
        <x:v>46250</x:v>
      </x:c>
      <x:c r="B133" s="166" t="str">
        <x:v>S003</x:v>
      </x:c>
      <x:c r="C133" s="182" t="str">
        <x:f>IFERROR(INDEX('门店主数据'!$B$5:$B$8,MATCH(B133,'门店主数据'!$A$5:$A$8,0)),"")</x:f>
        <x:v>大学城店</x:v>
      </x:c>
      <x:c r="D133" s="166" t="str">
        <x:v>P009</x:v>
      </x:c>
      <x:c r="E133" s="182" t="str">
        <x:f>IFERROR(INDEX('商品主数据'!$B$5:$B$16,MATCH(D133,'商品主数据'!$A$5:$A$16,0)),"")</x:f>
        <x:v>黄油可颂</x:v>
      </x:c>
      <x:c r="F133" s="182" t="str">
        <x:f>IFERROR(INDEX('商品主数据'!$C$5:$C$16,MATCH(D133,'商品主数据'!$A$5:$A$16,0)),"")</x:f>
        <x:v>烘焙</x:v>
      </x:c>
      <x:c r="G133" s="185" t="n">
        <x:f>IFERROR(INDEX('商品主数据'!$E$5:$E$16,MATCH(D133,'商品主数据'!$A$5:$A$16,0)),"")</x:f>
        <x:v>18</x:v>
      </x:c>
      <x:c r="H133" s="167" t="n">
        <x:v>6</x:v>
      </x:c>
      <x:c r="I133" s="167" t="n">
        <x:v>9</x:v>
      </x:c>
      <x:c r="J133" s="185" t="n">
        <x:f>ROUND(G133*I133,2)</x:f>
        <x:v>162</x:v>
      </x:c>
      <x:c r="K133" s="168" t="n">
        <x:v>4.86</x:v>
      </x:c>
      <x:c r="L133" s="185" t="n">
        <x:f>ROUND(J133-K133,2)</x:f>
        <x:v>157.14</x:v>
      </x:c>
      <x:c r="M133" s="185" t="n">
        <x:f>IFERROR(INDEX('商品主数据'!$F$5:$F$16,MATCH(D133,'商品主数据'!$A$5:$A$16,0)),"")</x:f>
        <x:v>6</x:v>
      </x:c>
      <x:c r="N133" s="185" t="n">
        <x:f>ROUND(M133*I133,2)</x:f>
        <x:v>54</x:v>
      </x:c>
      <x:c r="O133" s="185" t="n">
        <x:f>ROUND(L133-N133,2)</x:f>
        <x:v>103.14</x:v>
      </x:c>
      <x:c r="P133" s="166" t="str">
        <x:v>微信支付</x:v>
      </x:c>
      <x:c r="Q133" s="169" t="str"/>
    </x:row>
    <x:row r="134">
      <x:c r="A134" s="165" t="n">
        <x:v>46250</x:v>
      </x:c>
      <x:c r="B134" s="166" t="str">
        <x:v>S003</x:v>
      </x:c>
      <x:c r="C134" s="182" t="str">
        <x:f>IFERROR(INDEX('门店主数据'!$B$5:$B$8,MATCH(B134,'门店主数据'!$A$5:$A$8,0)),"")</x:f>
        <x:v>大学城店</x:v>
      </x:c>
      <x:c r="D134" s="166" t="str">
        <x:v>P010</x:v>
      </x:c>
      <x:c r="E134" s="182" t="str">
        <x:f>IFERROR(INDEX('商品主数据'!$B$5:$B$16,MATCH(D134,'商品主数据'!$A$5:$A$16,0)),"")</x:f>
        <x:v>蓝莓玛芬</x:v>
      </x:c>
      <x:c r="F134" s="182" t="str">
        <x:f>IFERROR(INDEX('商品主数据'!$C$5:$C$16,MATCH(D134,'商品主数据'!$A$5:$A$16,0)),"")</x:f>
        <x:v>烘焙</x:v>
      </x:c>
      <x:c r="G134" s="185" t="n">
        <x:f>IFERROR(INDEX('商品主数据'!$E$5:$E$16,MATCH(D134,'商品主数据'!$A$5:$A$16,0)),"")</x:f>
        <x:v>16</x:v>
      </x:c>
      <x:c r="H134" s="167" t="n">
        <x:v>4</x:v>
      </x:c>
      <x:c r="I134" s="167" t="n">
        <x:v>7</x:v>
      </x:c>
      <x:c r="J134" s="185" t="n">
        <x:f>ROUND(G134*I134,2)</x:f>
        <x:v>112</x:v>
      </x:c>
      <x:c r="K134" s="168" t="n">
        <x:v>3.36</x:v>
      </x:c>
      <x:c r="L134" s="185" t="n">
        <x:f>ROUND(J134-K134,2)</x:f>
        <x:v>108.64</x:v>
      </x:c>
      <x:c r="M134" s="185" t="n">
        <x:f>IFERROR(INDEX('商品主数据'!$F$5:$F$16,MATCH(D134,'商品主数据'!$A$5:$A$16,0)),"")</x:f>
        <x:v>5</x:v>
      </x:c>
      <x:c r="N134" s="185" t="n">
        <x:f>ROUND(M134*I134,2)</x:f>
        <x:v>35</x:v>
      </x:c>
      <x:c r="O134" s="185" t="n">
        <x:f>ROUND(L134-N134,2)</x:f>
        <x:v>73.64</x:v>
      </x:c>
      <x:c r="P134" s="166" t="str">
        <x:v>支付宝</x:v>
      </x:c>
      <x:c r="Q134" s="169" t="str"/>
    </x:row>
    <x:row r="135">
      <x:c r="A135" s="165" t="n">
        <x:v>46250</x:v>
      </x:c>
      <x:c r="B135" s="166" t="str">
        <x:v>S003</x:v>
      </x:c>
      <x:c r="C135" s="182" t="str">
        <x:f>IFERROR(INDEX('门店主数据'!$B$5:$B$8,MATCH(B135,'门店主数据'!$A$5:$A$8,0)),"")</x:f>
        <x:v>大学城店</x:v>
      </x:c>
      <x:c r="D135" s="166" t="str">
        <x:v>P011</x:v>
      </x:c>
      <x:c r="E135" s="182" t="str">
        <x:f>IFERROR(INDEX('商品主数据'!$B$5:$B$16,MATCH(D135,'商品主数据'!$A$5:$A$16,0)),"")</x:f>
        <x:v>火腿芝士三明治</x:v>
      </x:c>
      <x:c r="F135" s="182" t="str">
        <x:f>IFERROR(INDEX('商品主数据'!$C$5:$C$16,MATCH(D135,'商品主数据'!$A$5:$A$16,0)),"")</x:f>
        <x:v>轻食</x:v>
      </x:c>
      <x:c r="G135" s="185" t="n">
        <x:f>IFERROR(INDEX('商品主数据'!$E$5:$E$16,MATCH(D135,'商品主数据'!$A$5:$A$16,0)),"")</x:f>
        <x:v>32</x:v>
      </x:c>
      <x:c r="H135" s="167" t="n">
        <x:v>3</x:v>
      </x:c>
      <x:c r="I135" s="167" t="n">
        <x:v>6</x:v>
      </x:c>
      <x:c r="J135" s="185" t="n">
        <x:f>ROUND(G135*I135,2)</x:f>
        <x:v>192</x:v>
      </x:c>
      <x:c r="K135" s="168" t="n">
        <x:v>5.76</x:v>
      </x:c>
      <x:c r="L135" s="185" t="n">
        <x:f>ROUND(J135-K135,2)</x:f>
        <x:v>186.24</x:v>
      </x:c>
      <x:c r="M135" s="185" t="n">
        <x:f>IFERROR(INDEX('商品主数据'!$F$5:$F$16,MATCH(D135,'商品主数据'!$A$5:$A$16,0)),"")</x:f>
        <x:v>13</x:v>
      </x:c>
      <x:c r="N135" s="185" t="n">
        <x:f>ROUND(M135*I135,2)</x:f>
        <x:v>78</x:v>
      </x:c>
      <x:c r="O135" s="185" t="n">
        <x:f>ROUND(L135-N135,2)</x:f>
        <x:v>108.24</x:v>
      </x:c>
      <x:c r="P135" s="166" t="str">
        <x:v>银行卡</x:v>
      </x:c>
      <x:c r="Q135" s="169" t="str"/>
    </x:row>
    <x:row r="136">
      <x:c r="A136" s="165" t="n">
        <x:v>46250</x:v>
      </x:c>
      <x:c r="B136" s="166" t="str">
        <x:v>S003</x:v>
      </x:c>
      <x:c r="C136" s="182" t="str">
        <x:f>IFERROR(INDEX('门店主数据'!$B$5:$B$8,MATCH(B136,'门店主数据'!$A$5:$A$8,0)),"")</x:f>
        <x:v>大学城店</x:v>
      </x:c>
      <x:c r="D136" s="166" t="str">
        <x:v>P012</x:v>
      </x:c>
      <x:c r="E136" s="182" t="str">
        <x:f>IFERROR(INDEX('商品主数据'!$B$5:$B$16,MATCH(D136,'商品主数据'!$A$5:$A$16,0)),"")</x:f>
        <x:v>燕麦奶加料</x:v>
      </x:c>
      <x:c r="F136" s="182" t="str">
        <x:f>IFERROR(INDEX('商品主数据'!$C$5:$C$16,MATCH(D136,'商品主数据'!$A$5:$A$16,0)),"")</x:f>
        <x:v>加料</x:v>
      </x:c>
      <x:c r="G136" s="185" t="n">
        <x:f>IFERROR(INDEX('商品主数据'!$E$5:$E$16,MATCH(D136,'商品主数据'!$A$5:$A$16,0)),"")</x:f>
        <x:v>5</x:v>
      </x:c>
      <x:c r="H136" s="167" t="n">
        <x:v>1</x:v>
      </x:c>
      <x:c r="I136" s="167" t="n">
        <x:v>2</x:v>
      </x:c>
      <x:c r="J136" s="185" t="n">
        <x:f>ROUND(G136*I136,2)</x:f>
        <x:v>10</x:v>
      </x:c>
      <x:c r="K136" s="168" t="n">
        <x:v>0.8</x:v>
      </x:c>
      <x:c r="L136" s="185" t="n">
        <x:f>ROUND(J136-K136,2)</x:f>
        <x:v>9.2</x:v>
      </x:c>
      <x:c r="M136" s="185" t="n">
        <x:f>IFERROR(INDEX('商品主数据'!$F$5:$F$16,MATCH(D136,'商品主数据'!$A$5:$A$16,0)),"")</x:f>
        <x:v>1.8</x:v>
      </x:c>
      <x:c r="N136" s="185" t="n">
        <x:f>ROUND(M136*I136,2)</x:f>
        <x:v>3.6</x:v>
      </x:c>
      <x:c r="O136" s="185" t="n">
        <x:f>ROUND(L136-N136,2)</x:f>
        <x:v>5.6</x:v>
      </x:c>
      <x:c r="P136" s="166" t="str">
        <x:v>现金</x:v>
      </x:c>
      <x:c r="Q136" s="169" t="str"/>
    </x:row>
    <x:row r="137">
      <x:c r="A137" s="165" t="n">
        <x:v>46250</x:v>
      </x:c>
      <x:c r="B137" s="166" t="str">
        <x:v>S004</x:v>
      </x:c>
      <x:c r="C137" s="182" t="str">
        <x:f>IFERROR(INDEX('门店主数据'!$B$5:$B$8,MATCH(B137,'门店主数据'!$A$5:$A$8,0)),"")</x:f>
        <x:v>机场店</x:v>
      </x:c>
      <x:c r="D137" s="166" t="str">
        <x:v>P001</x:v>
      </x:c>
      <x:c r="E137" s="182" t="str">
        <x:f>IFERROR(INDEX('商品主数据'!$B$5:$B$16,MATCH(D137,'商品主数据'!$A$5:$A$16,0)),"")</x:f>
        <x:v>浓缩咖啡</x:v>
      </x:c>
      <x:c r="F137" s="182" t="str">
        <x:f>IFERROR(INDEX('商品主数据'!$C$5:$C$16,MATCH(D137,'商品主数据'!$A$5:$A$16,0)),"")</x:f>
        <x:v>咖啡</x:v>
      </x:c>
      <x:c r="G137" s="185" t="n">
        <x:f>IFERROR(INDEX('商品主数据'!$E$5:$E$16,MATCH(D137,'商品主数据'!$A$5:$A$16,0)),"")</x:f>
        <x:v>22</x:v>
      </x:c>
      <x:c r="H137" s="167" t="n">
        <x:v>10</x:v>
      </x:c>
      <x:c r="I137" s="167" t="n">
        <x:v>13</x:v>
      </x:c>
      <x:c r="J137" s="185" t="n">
        <x:f>ROUND(G137*I137,2)</x:f>
        <x:v>286</x:v>
      </x:c>
      <x:c r="K137" s="168" t="n">
        <x:v>22.88</x:v>
      </x:c>
      <x:c r="L137" s="185" t="n">
        <x:f>ROUND(J137-K137,2)</x:f>
        <x:v>263.12</x:v>
      </x:c>
      <x:c r="M137" s="185" t="n">
        <x:f>IFERROR(INDEX('商品主数据'!$F$5:$F$16,MATCH(D137,'商品主数据'!$A$5:$A$16,0)),"")</x:f>
        <x:v>5.5</x:v>
      </x:c>
      <x:c r="N137" s="185" t="n">
        <x:f>ROUND(M137*I137,2)</x:f>
        <x:v>71.5</x:v>
      </x:c>
      <x:c r="O137" s="185" t="n">
        <x:f>ROUND(L137-N137,2)</x:f>
        <x:v>191.62</x:v>
      </x:c>
      <x:c r="P137" s="166" t="str">
        <x:v>支付宝</x:v>
      </x:c>
      <x:c r="Q137" s="169" t="str"/>
    </x:row>
    <x:row r="138">
      <x:c r="A138" s="165" t="n">
        <x:v>46250</x:v>
      </x:c>
      <x:c r="B138" s="166" t="str">
        <x:v>S004</x:v>
      </x:c>
      <x:c r="C138" s="182" t="str">
        <x:f>IFERROR(INDEX('门店主数据'!$B$5:$B$8,MATCH(B138,'门店主数据'!$A$5:$A$8,0)),"")</x:f>
        <x:v>机场店</x:v>
      </x:c>
      <x:c r="D138" s="166" t="str">
        <x:v>P002</x:v>
      </x:c>
      <x:c r="E138" s="182" t="str">
        <x:f>IFERROR(INDEX('商品主数据'!$B$5:$B$16,MATCH(D138,'商品主数据'!$A$5:$A$16,0)),"")</x:f>
        <x:v>美式咖啡</x:v>
      </x:c>
      <x:c r="F138" s="182" t="str">
        <x:f>IFERROR(INDEX('商品主数据'!$C$5:$C$16,MATCH(D138,'商品主数据'!$A$5:$A$16,0)),"")</x:f>
        <x:v>咖啡</x:v>
      </x:c>
      <x:c r="G138" s="185" t="n">
        <x:f>IFERROR(INDEX('商品主数据'!$E$5:$E$16,MATCH(D138,'商品主数据'!$A$5:$A$16,0)),"")</x:f>
        <x:v>26</x:v>
      </x:c>
      <x:c r="H138" s="167" t="n">
        <x:v>21</x:v>
      </x:c>
      <x:c r="I138" s="167" t="n">
        <x:v>25</x:v>
      </x:c>
      <x:c r="J138" s="185" t="n">
        <x:f>ROUND(G138*I138,2)</x:f>
        <x:v>650</x:v>
      </x:c>
      <x:c r="K138" s="168" t="n">
        <x:v>19.5</x:v>
      </x:c>
      <x:c r="L138" s="185" t="n">
        <x:f>ROUND(J138-K138,2)</x:f>
        <x:v>630.5</x:v>
      </x:c>
      <x:c r="M138" s="185" t="n">
        <x:f>IFERROR(INDEX('商品主数据'!$F$5:$F$16,MATCH(D138,'商品主数据'!$A$5:$A$16,0)),"")</x:f>
        <x:v>6</x:v>
      </x:c>
      <x:c r="N138" s="185" t="n">
        <x:f>ROUND(M138*I138,2)</x:f>
        <x:v>150</x:v>
      </x:c>
      <x:c r="O138" s="185" t="n">
        <x:f>ROUND(L138-N138,2)</x:f>
        <x:v>480.5</x:v>
      </x:c>
      <x:c r="P138" s="166" t="str">
        <x:v>银行卡</x:v>
      </x:c>
      <x:c r="Q138" s="169" t="str"/>
    </x:row>
    <x:row r="139">
      <x:c r="A139" s="165" t="n">
        <x:v>46250</x:v>
      </x:c>
      <x:c r="B139" s="166" t="str">
        <x:v>S004</x:v>
      </x:c>
      <x:c r="C139" s="182" t="str">
        <x:f>IFERROR(INDEX('门店主数据'!$B$5:$B$8,MATCH(B139,'门店主数据'!$A$5:$A$8,0)),"")</x:f>
        <x:v>机场店</x:v>
      </x:c>
      <x:c r="D139" s="166" t="str">
        <x:v>P003</x:v>
      </x:c>
      <x:c r="E139" s="182" t="str">
        <x:f>IFERROR(INDEX('商品主数据'!$B$5:$B$16,MATCH(D139,'商品主数据'!$A$5:$A$16,0)),"")</x:f>
        <x:v>拿铁咖啡</x:v>
      </x:c>
      <x:c r="F139" s="182" t="str">
        <x:f>IFERROR(INDEX('商品主数据'!$C$5:$C$16,MATCH(D139,'商品主数据'!$A$5:$A$16,0)),"")</x:f>
        <x:v>咖啡</x:v>
      </x:c>
      <x:c r="G139" s="185" t="n">
        <x:f>IFERROR(INDEX('商品主数据'!$E$5:$E$16,MATCH(D139,'商品主数据'!$A$5:$A$16,0)),"")</x:f>
        <x:v>32</x:v>
      </x:c>
      <x:c r="H139" s="167" t="n">
        <x:v>15</x:v>
      </x:c>
      <x:c r="I139" s="167" t="n">
        <x:v>20</x:v>
      </x:c>
      <x:c r="J139" s="185" t="n">
        <x:f>ROUND(G139*I139,2)</x:f>
        <x:v>640</x:v>
      </x:c>
      <x:c r="K139" s="168" t="n">
        <x:v>19.2</x:v>
      </x:c>
      <x:c r="L139" s="185" t="n">
        <x:f>ROUND(J139-K139,2)</x:f>
        <x:v>620.8</x:v>
      </x:c>
      <x:c r="M139" s="185" t="n">
        <x:f>IFERROR(INDEX('商品主数据'!$F$5:$F$16,MATCH(D139,'商品主数据'!$A$5:$A$16,0)),"")</x:f>
        <x:v>8.5</x:v>
      </x:c>
      <x:c r="N139" s="185" t="n">
        <x:f>ROUND(M139*I139,2)</x:f>
        <x:v>170</x:v>
      </x:c>
      <x:c r="O139" s="185" t="n">
        <x:f>ROUND(L139-N139,2)</x:f>
        <x:v>450.8</x:v>
      </x:c>
      <x:c r="P139" s="166" t="str">
        <x:v>现金</x:v>
      </x:c>
      <x:c r="Q139" s="169" t="str">
        <x:v>新品推广测试</x:v>
      </x:c>
    </x:row>
    <x:row r="140">
      <x:c r="A140" s="165" t="n">
        <x:v>46250</x:v>
      </x:c>
      <x:c r="B140" s="166" t="str">
        <x:v>S004</x:v>
      </x:c>
      <x:c r="C140" s="182" t="str">
        <x:f>IFERROR(INDEX('门店主数据'!$B$5:$B$8,MATCH(B140,'门店主数据'!$A$5:$A$8,0)),"")</x:f>
        <x:v>机场店</x:v>
      </x:c>
      <x:c r="D140" s="166" t="str">
        <x:v>P004</x:v>
      </x:c>
      <x:c r="E140" s="182" t="str">
        <x:f>IFERROR(INDEX('商品主数据'!$B$5:$B$16,MATCH(D140,'商品主数据'!$A$5:$A$16,0)),"")</x:f>
        <x:v>卡布奇诺</x:v>
      </x:c>
      <x:c r="F140" s="182" t="str">
        <x:f>IFERROR(INDEX('商品主数据'!$C$5:$C$16,MATCH(D140,'商品主数据'!$A$5:$A$16,0)),"")</x:f>
        <x:v>咖啡</x:v>
      </x:c>
      <x:c r="G140" s="185" t="n">
        <x:f>IFERROR(INDEX('商品主数据'!$E$5:$E$16,MATCH(D140,'商品主数据'!$A$5:$A$16,0)),"")</x:f>
        <x:v>32</x:v>
      </x:c>
      <x:c r="H140" s="167" t="n">
        <x:v>10</x:v>
      </x:c>
      <x:c r="I140" s="167" t="n">
        <x:v>14</x:v>
      </x:c>
      <x:c r="J140" s="185" t="n">
        <x:f>ROUND(G140*I140,2)</x:f>
        <x:v>448</x:v>
      </x:c>
      <x:c r="K140" s="168" t="n">
        <x:v>13.44</x:v>
      </x:c>
      <x:c r="L140" s="185" t="n">
        <x:f>ROUND(J140-K140,2)</x:f>
        <x:v>434.56</x:v>
      </x:c>
      <x:c r="M140" s="185" t="n">
        <x:f>IFERROR(INDEX('商品主数据'!$F$5:$F$16,MATCH(D140,'商品主数据'!$A$5:$A$16,0)),"")</x:f>
        <x:v>8.5</x:v>
      </x:c>
      <x:c r="N140" s="185" t="n">
        <x:f>ROUND(M140*I140,2)</x:f>
        <x:v>119</x:v>
      </x:c>
      <x:c r="O140" s="185" t="n">
        <x:f>ROUND(L140-N140,2)</x:f>
        <x:v>315.56</x:v>
      </x:c>
      <x:c r="P140" s="166" t="str">
        <x:v>微信支付</x:v>
      </x:c>
      <x:c r="Q140" s="169" t="str"/>
    </x:row>
    <x:row r="141">
      <x:c r="A141" s="165" t="n">
        <x:v>46250</x:v>
      </x:c>
      <x:c r="B141" s="166" t="str">
        <x:v>S004</x:v>
      </x:c>
      <x:c r="C141" s="182" t="str">
        <x:f>IFERROR(INDEX('门店主数据'!$B$5:$B$8,MATCH(B141,'门店主数据'!$A$5:$A$8,0)),"")</x:f>
        <x:v>机场店</x:v>
      </x:c>
      <x:c r="D141" s="166" t="str">
        <x:v>P005</x:v>
      </x:c>
      <x:c r="E141" s="182" t="str">
        <x:f>IFERROR(INDEX('商品主数据'!$B$5:$B$16,MATCH(D141,'商品主数据'!$A$5:$A$16,0)),"")</x:f>
        <x:v>摩卡咖啡</x:v>
      </x:c>
      <x:c r="F141" s="182" t="str">
        <x:f>IFERROR(INDEX('商品主数据'!$C$5:$C$16,MATCH(D141,'商品主数据'!$A$5:$A$16,0)),"")</x:f>
        <x:v>咖啡</x:v>
      </x:c>
      <x:c r="G141" s="185" t="n">
        <x:f>IFERROR(INDEX('商品主数据'!$E$5:$E$16,MATCH(D141,'商品主数据'!$A$5:$A$16,0)),"")</x:f>
        <x:v>36</x:v>
      </x:c>
      <x:c r="H141" s="167" t="n">
        <x:v>5</x:v>
      </x:c>
      <x:c r="I141" s="167" t="n">
        <x:v>8</x:v>
      </x:c>
      <x:c r="J141" s="185" t="n">
        <x:f>ROUND(G141*I141,2)</x:f>
        <x:v>288</x:v>
      </x:c>
      <x:c r="K141" s="168" t="n">
        <x:v>8.64</x:v>
      </x:c>
      <x:c r="L141" s="185" t="n">
        <x:f>ROUND(J141-K141,2)</x:f>
        <x:v>279.36</x:v>
      </x:c>
      <x:c r="M141" s="185" t="n">
        <x:f>IFERROR(INDEX('商品主数据'!$F$5:$F$16,MATCH(D141,'商品主数据'!$A$5:$A$16,0)),"")</x:f>
        <x:v>10</x:v>
      </x:c>
      <x:c r="N141" s="185" t="n">
        <x:f>ROUND(M141*I141,2)</x:f>
        <x:v>80</x:v>
      </x:c>
      <x:c r="O141" s="185" t="n">
        <x:f>ROUND(L141-N141,2)</x:f>
        <x:v>199.36</x:v>
      </x:c>
      <x:c r="P141" s="166" t="str">
        <x:v>支付宝</x:v>
      </x:c>
      <x:c r="Q141" s="169" t="str"/>
    </x:row>
    <x:row r="142">
      <x:c r="A142" s="165" t="n">
        <x:v>46250</x:v>
      </x:c>
      <x:c r="B142" s="166" t="str">
        <x:v>S004</x:v>
      </x:c>
      <x:c r="C142" s="182" t="str">
        <x:f>IFERROR(INDEX('门店主数据'!$B$5:$B$8,MATCH(B142,'门店主数据'!$A$5:$A$8,0)),"")</x:f>
        <x:v>机场店</x:v>
      </x:c>
      <x:c r="D142" s="166" t="str">
        <x:v>P006</x:v>
      </x:c>
      <x:c r="E142" s="182" t="str">
        <x:f>IFERROR(INDEX('商品主数据'!$B$5:$B$16,MATCH(D142,'商品主数据'!$A$5:$A$16,0)),"")</x:f>
        <x:v>冷萃咖啡</x:v>
      </x:c>
      <x:c r="F142" s="182" t="str">
        <x:f>IFERROR(INDEX('商品主数据'!$C$5:$C$16,MATCH(D142,'商品主数据'!$A$5:$A$16,0)),"")</x:f>
        <x:v>咖啡</x:v>
      </x:c>
      <x:c r="G142" s="185" t="n">
        <x:f>IFERROR(INDEX('商品主数据'!$E$5:$E$16,MATCH(D142,'商品主数据'!$A$5:$A$16,0)),"")</x:f>
        <x:v>34</x:v>
      </x:c>
      <x:c r="H142" s="167" t="n">
        <x:v>7</x:v>
      </x:c>
      <x:c r="I142" s="167" t="n">
        <x:v>10</x:v>
      </x:c>
      <x:c r="J142" s="185" t="n">
        <x:f>ROUND(G142*I142,2)</x:f>
        <x:v>340</x:v>
      </x:c>
      <x:c r="K142" s="168" t="n">
        <x:v>27.2</x:v>
      </x:c>
      <x:c r="L142" s="185" t="n">
        <x:f>ROUND(J142-K142,2)</x:f>
        <x:v>312.8</x:v>
      </x:c>
      <x:c r="M142" s="185" t="n">
        <x:f>IFERROR(INDEX('商品主数据'!$F$5:$F$16,MATCH(D142,'商品主数据'!$A$5:$A$16,0)),"")</x:f>
        <x:v>9.5</x:v>
      </x:c>
      <x:c r="N142" s="185" t="n">
        <x:f>ROUND(M142*I142,2)</x:f>
        <x:v>95</x:v>
      </x:c>
      <x:c r="O142" s="185" t="n">
        <x:f>ROUND(L142-N142,2)</x:f>
        <x:v>217.8</x:v>
      </x:c>
      <x:c r="P142" s="166" t="str">
        <x:v>银行卡</x:v>
      </x:c>
      <x:c r="Q142" s="169" t="str"/>
    </x:row>
    <x:row r="143">
      <x:c r="A143" s="165" t="n">
        <x:v>46250</x:v>
      </x:c>
      <x:c r="B143" s="166" t="str">
        <x:v>S004</x:v>
      </x:c>
      <x:c r="C143" s="182" t="str">
        <x:f>IFERROR(INDEX('门店主数据'!$B$5:$B$8,MATCH(B143,'门店主数据'!$A$5:$A$8,0)),"")</x:f>
        <x:v>机场店</x:v>
      </x:c>
      <x:c r="D143" s="166" t="str">
        <x:v>P007</x:v>
      </x:c>
      <x:c r="E143" s="182" t="str">
        <x:f>IFERROR(INDEX('商品主数据'!$B$5:$B$16,MATCH(D143,'商品主数据'!$A$5:$A$16,0)),"")</x:f>
        <x:v>抹茶拿铁</x:v>
      </x:c>
      <x:c r="F143" s="182" t="str">
        <x:f>IFERROR(INDEX('商品主数据'!$C$5:$C$16,MATCH(D143,'商品主数据'!$A$5:$A$16,0)),"")</x:f>
        <x:v>茶饮</x:v>
      </x:c>
      <x:c r="G143" s="185" t="n">
        <x:f>IFERROR(INDEX('商品主数据'!$E$5:$E$16,MATCH(D143,'商品主数据'!$A$5:$A$16,0)),"")</x:f>
        <x:v>34</x:v>
      </x:c>
      <x:c r="H143" s="167" t="n">
        <x:v>5</x:v>
      </x:c>
      <x:c r="I143" s="167" t="n">
        <x:v>8</x:v>
      </x:c>
      <x:c r="J143" s="185" t="n">
        <x:f>ROUND(G143*I143,2)</x:f>
        <x:v>272</x:v>
      </x:c>
      <x:c r="K143" s="168" t="n">
        <x:v>8.16</x:v>
      </x:c>
      <x:c r="L143" s="185" t="n">
        <x:f>ROUND(J143-K143,2)</x:f>
        <x:v>263.84</x:v>
      </x:c>
      <x:c r="M143" s="185" t="n">
        <x:f>IFERROR(INDEX('商品主数据'!$F$5:$F$16,MATCH(D143,'商品主数据'!$A$5:$A$16,0)),"")</x:f>
        <x:v>9</x:v>
      </x:c>
      <x:c r="N143" s="185" t="n">
        <x:f>ROUND(M143*I143,2)</x:f>
        <x:v>72</x:v>
      </x:c>
      <x:c r="O143" s="185" t="n">
        <x:f>ROUND(L143-N143,2)</x:f>
        <x:v>191.84</x:v>
      </x:c>
      <x:c r="P143" s="166" t="str">
        <x:v>现金</x:v>
      </x:c>
      <x:c r="Q143" s="169" t="str"/>
    </x:row>
    <x:row r="144">
      <x:c r="A144" s="165" t="n">
        <x:v>46250</x:v>
      </x:c>
      <x:c r="B144" s="166" t="str">
        <x:v>S004</x:v>
      </x:c>
      <x:c r="C144" s="182" t="str">
        <x:f>IFERROR(INDEX('门店主数据'!$B$5:$B$8,MATCH(B144,'门店主数据'!$A$5:$A$8,0)),"")</x:f>
        <x:v>机场店</x:v>
      </x:c>
      <x:c r="D144" s="166" t="str">
        <x:v>P008</x:v>
      </x:c>
      <x:c r="E144" s="182" t="str">
        <x:f>IFERROR(INDEX('商品主数据'!$B$5:$B$16,MATCH(D144,'商品主数据'!$A$5:$A$16,0)),"")</x:f>
        <x:v>海盐芝士蛋糕</x:v>
      </x:c>
      <x:c r="F144" s="182" t="str">
        <x:f>IFERROR(INDEX('商品主数据'!$C$5:$C$16,MATCH(D144,'商品主数据'!$A$5:$A$16,0)),"")</x:f>
        <x:v>烘焙</x:v>
      </x:c>
      <x:c r="G144" s="185" t="n">
        <x:f>IFERROR(INDEX('商品主数据'!$E$5:$E$16,MATCH(D144,'商品主数据'!$A$5:$A$16,0)),"")</x:f>
        <x:v>38</x:v>
      </x:c>
      <x:c r="H144" s="167" t="n">
        <x:v>2</x:v>
      </x:c>
      <x:c r="I144" s="167" t="n">
        <x:v>5</x:v>
      </x:c>
      <x:c r="J144" s="185" t="n">
        <x:f>ROUND(G144*I144,2)</x:f>
        <x:v>190</x:v>
      </x:c>
      <x:c r="K144" s="168" t="n">
        <x:v>5.7</x:v>
      </x:c>
      <x:c r="L144" s="185" t="n">
        <x:f>ROUND(J144-K144,2)</x:f>
        <x:v>184.3</x:v>
      </x:c>
      <x:c r="M144" s="185" t="n">
        <x:f>IFERROR(INDEX('商品主数据'!$F$5:$F$16,MATCH(D144,'商品主数据'!$A$5:$A$16,0)),"")</x:f>
        <x:v>16</x:v>
      </x:c>
      <x:c r="N144" s="185" t="n">
        <x:f>ROUND(M144*I144,2)</x:f>
        <x:v>80</x:v>
      </x:c>
      <x:c r="O144" s="185" t="n">
        <x:f>ROUND(L144-N144,2)</x:f>
        <x:v>104.3</x:v>
      </x:c>
      <x:c r="P144" s="166" t="str">
        <x:v>微信支付</x:v>
      </x:c>
      <x:c r="Q144" s="169" t="str"/>
    </x:row>
    <x:row r="145">
      <x:c r="A145" s="165" t="n">
        <x:v>46250</x:v>
      </x:c>
      <x:c r="B145" s="166" t="str">
        <x:v>S004</x:v>
      </x:c>
      <x:c r="C145" s="182" t="str">
        <x:f>IFERROR(INDEX('门店主数据'!$B$5:$B$8,MATCH(B145,'门店主数据'!$A$5:$A$8,0)),"")</x:f>
        <x:v>机场店</x:v>
      </x:c>
      <x:c r="D145" s="166" t="str">
        <x:v>P009</x:v>
      </x:c>
      <x:c r="E145" s="182" t="str">
        <x:f>IFERROR(INDEX('商品主数据'!$B$5:$B$16,MATCH(D145,'商品主数据'!$A$5:$A$16,0)),"")</x:f>
        <x:v>黄油可颂</x:v>
      </x:c>
      <x:c r="F145" s="182" t="str">
        <x:f>IFERROR(INDEX('商品主数据'!$C$5:$C$16,MATCH(D145,'商品主数据'!$A$5:$A$16,0)),"")</x:f>
        <x:v>烘焙</x:v>
      </x:c>
      <x:c r="G145" s="185" t="n">
        <x:f>IFERROR(INDEX('商品主数据'!$E$5:$E$16,MATCH(D145,'商品主数据'!$A$5:$A$16,0)),"")</x:f>
        <x:v>18</x:v>
      </x:c>
      <x:c r="H145" s="167" t="n">
        <x:v>10</x:v>
      </x:c>
      <x:c r="I145" s="167" t="n">
        <x:v>14</x:v>
      </x:c>
      <x:c r="J145" s="185" t="n">
        <x:f>ROUND(G145*I145,2)</x:f>
        <x:v>252</x:v>
      </x:c>
      <x:c r="K145" s="168" t="n">
        <x:v>7.56</x:v>
      </x:c>
      <x:c r="L145" s="185" t="n">
        <x:f>ROUND(J145-K145,2)</x:f>
        <x:v>244.44</x:v>
      </x:c>
      <x:c r="M145" s="185" t="n">
        <x:f>IFERROR(INDEX('商品主数据'!$F$5:$F$16,MATCH(D145,'商品主数据'!$A$5:$A$16,0)),"")</x:f>
        <x:v>6</x:v>
      </x:c>
      <x:c r="N145" s="185" t="n">
        <x:f>ROUND(M145*I145,2)</x:f>
        <x:v>84</x:v>
      </x:c>
      <x:c r="O145" s="185" t="n">
        <x:f>ROUND(L145-N145,2)</x:f>
        <x:v>160.44</x:v>
      </x:c>
      <x:c r="P145" s="166" t="str">
        <x:v>支付宝</x:v>
      </x:c>
      <x:c r="Q145" s="169" t="str"/>
    </x:row>
    <x:row r="146">
      <x:c r="A146" s="165" t="n">
        <x:v>46250</x:v>
      </x:c>
      <x:c r="B146" s="166" t="str">
        <x:v>S004</x:v>
      </x:c>
      <x:c r="C146" s="182" t="str">
        <x:f>IFERROR(INDEX('门店主数据'!$B$5:$B$8,MATCH(B146,'门店主数据'!$A$5:$A$8,0)),"")</x:f>
        <x:v>机场店</x:v>
      </x:c>
      <x:c r="D146" s="166" t="str">
        <x:v>P010</x:v>
      </x:c>
      <x:c r="E146" s="182" t="str">
        <x:f>IFERROR(INDEX('商品主数据'!$B$5:$B$16,MATCH(D146,'商品主数据'!$A$5:$A$16,0)),"")</x:f>
        <x:v>蓝莓玛芬</x:v>
      </x:c>
      <x:c r="F146" s="182" t="str">
        <x:f>IFERROR(INDEX('商品主数据'!$C$5:$C$16,MATCH(D146,'商品主数据'!$A$5:$A$16,0)),"")</x:f>
        <x:v>烘焙</x:v>
      </x:c>
      <x:c r="G146" s="185" t="n">
        <x:f>IFERROR(INDEX('商品主数据'!$E$5:$E$16,MATCH(D146,'商品主数据'!$A$5:$A$16,0)),"")</x:f>
        <x:v>16</x:v>
      </x:c>
      <x:c r="H146" s="167" t="n">
        <x:v>7</x:v>
      </x:c>
      <x:c r="I146" s="167" t="n">
        <x:v>11</x:v>
      </x:c>
      <x:c r="J146" s="185" t="n">
        <x:f>ROUND(G146*I146,2)</x:f>
        <x:v>176</x:v>
      </x:c>
      <x:c r="K146" s="168" t="n">
        <x:v>5.28</x:v>
      </x:c>
      <x:c r="L146" s="185" t="n">
        <x:f>ROUND(J146-K146,2)</x:f>
        <x:v>170.72</x:v>
      </x:c>
      <x:c r="M146" s="185" t="n">
        <x:f>IFERROR(INDEX('商品主数据'!$F$5:$F$16,MATCH(D146,'商品主数据'!$A$5:$A$16,0)),"")</x:f>
        <x:v>5</x:v>
      </x:c>
      <x:c r="N146" s="185" t="n">
        <x:f>ROUND(M146*I146,2)</x:f>
        <x:v>55</x:v>
      </x:c>
      <x:c r="O146" s="185" t="n">
        <x:f>ROUND(L146-N146,2)</x:f>
        <x:v>115.72</x:v>
      </x:c>
      <x:c r="P146" s="166" t="str">
        <x:v>银行卡</x:v>
      </x:c>
      <x:c r="Q146" s="169" t="str"/>
    </x:row>
    <x:row r="147">
      <x:c r="A147" s="165" t="n">
        <x:v>46250</x:v>
      </x:c>
      <x:c r="B147" s="166" t="str">
        <x:v>S004</x:v>
      </x:c>
      <x:c r="C147" s="182" t="str">
        <x:f>IFERROR(INDEX('门店主数据'!$B$5:$B$8,MATCH(B147,'门店主数据'!$A$5:$A$8,0)),"")</x:f>
        <x:v>机场店</x:v>
      </x:c>
      <x:c r="D147" s="166" t="str">
        <x:v>P011</x:v>
      </x:c>
      <x:c r="E147" s="182" t="str">
        <x:f>IFERROR(INDEX('商品主数据'!$B$5:$B$16,MATCH(D147,'商品主数据'!$A$5:$A$16,0)),"")</x:f>
        <x:v>火腿芝士三明治</x:v>
      </x:c>
      <x:c r="F147" s="182" t="str">
        <x:f>IFERROR(INDEX('商品主数据'!$C$5:$C$16,MATCH(D147,'商品主数据'!$A$5:$A$16,0)),"")</x:f>
        <x:v>轻食</x:v>
      </x:c>
      <x:c r="G147" s="185" t="n">
        <x:f>IFERROR(INDEX('商品主数据'!$E$5:$E$16,MATCH(D147,'商品主数据'!$A$5:$A$16,0)),"")</x:f>
        <x:v>32</x:v>
      </x:c>
      <x:c r="H147" s="167" t="n">
        <x:v>3</x:v>
      </x:c>
      <x:c r="I147" s="167" t="n">
        <x:v>6</x:v>
      </x:c>
      <x:c r="J147" s="185" t="n">
        <x:f>ROUND(G147*I147,2)</x:f>
        <x:v>192</x:v>
      </x:c>
      <x:c r="K147" s="168" t="n">
        <x:v>15.36</x:v>
      </x:c>
      <x:c r="L147" s="185" t="n">
        <x:f>ROUND(J147-K147,2)</x:f>
        <x:v>176.64</x:v>
      </x:c>
      <x:c r="M147" s="185" t="n">
        <x:f>IFERROR(INDEX('商品主数据'!$F$5:$F$16,MATCH(D147,'商品主数据'!$A$5:$A$16,0)),"")</x:f>
        <x:v>13</x:v>
      </x:c>
      <x:c r="N147" s="185" t="n">
        <x:f>ROUND(M147*I147,2)</x:f>
        <x:v>78</x:v>
      </x:c>
      <x:c r="O147" s="185" t="n">
        <x:f>ROUND(L147-N147,2)</x:f>
        <x:v>98.64</x:v>
      </x:c>
      <x:c r="P147" s="166" t="str">
        <x:v>现金</x:v>
      </x:c>
      <x:c r="Q147" s="169" t="str"/>
    </x:row>
    <x:row r="148">
      <x:c r="A148" s="170" t="n">
        <x:v>46250</x:v>
      </x:c>
      <x:c r="B148" s="171" t="str">
        <x:v>S004</x:v>
      </x:c>
      <x:c r="C148" s="183" t="str">
        <x:f>IFERROR(INDEX('门店主数据'!$B$5:$B$8,MATCH(B148,'门店主数据'!$A$5:$A$8,0)),"")</x:f>
        <x:v>机场店</x:v>
      </x:c>
      <x:c r="D148" s="171" t="str">
        <x:v>P012</x:v>
      </x:c>
      <x:c r="E148" s="183" t="str">
        <x:f>IFERROR(INDEX('商品主数据'!$B$5:$B$16,MATCH(D148,'商品主数据'!$A$5:$A$16,0)),"")</x:f>
        <x:v>燕麦奶加料</x:v>
      </x:c>
      <x:c r="F148" s="183" t="str">
        <x:f>IFERROR(INDEX('商品主数据'!$C$5:$C$16,MATCH(D148,'商品主数据'!$A$5:$A$16,0)),"")</x:f>
        <x:v>加料</x:v>
      </x:c>
      <x:c r="G148" s="186" t="n">
        <x:f>IFERROR(INDEX('商品主数据'!$E$5:$E$16,MATCH(D148,'商品主数据'!$A$5:$A$16,0)),"")</x:f>
        <x:v>5</x:v>
      </x:c>
      <x:c r="H148" s="172" t="n">
        <x:v>1</x:v>
      </x:c>
      <x:c r="I148" s="172" t="n">
        <x:v>4</x:v>
      </x:c>
      <x:c r="J148" s="186" t="n">
        <x:f>ROUND(G148*I148,2)</x:f>
        <x:v>20</x:v>
      </x:c>
      <x:c r="K148" s="173" t="n">
        <x:v>0.6</x:v>
      </x:c>
      <x:c r="L148" s="186" t="n">
        <x:f>ROUND(J148-K148,2)</x:f>
        <x:v>19.4</x:v>
      </x:c>
      <x:c r="M148" s="186" t="n">
        <x:f>IFERROR(INDEX('商品主数据'!$F$5:$F$16,MATCH(D148,'商品主数据'!$A$5:$A$16,0)),"")</x:f>
        <x:v>1.8</x:v>
      </x:c>
      <x:c r="N148" s="186" t="n">
        <x:f>ROUND(M148*I148,2)</x:f>
        <x:v>7.2</x:v>
      </x:c>
      <x:c r="O148" s="186" t="n">
        <x:f>ROUND(L148-N148,2)</x:f>
        <x:v>12.2</x:v>
      </x:c>
      <x:c r="P148" s="171" t="str">
        <x:v>微信支付</x:v>
      </x:c>
      <x:c r="Q148" s="174" t="str"/>
    </x:row>
  </x:sheetData>
  <x:mergeCells>
    <x:mergeCell ref="A1:Q1"/>
    <x:mergeCell ref="A2:Q2"/>
  </x:mergeCells>
  <x:dataValidations count="1">
    <x:dataValidation type="list" sqref="P5:P148">
      <x:formula1>"微信支付,支付宝,银行卡,现金"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0a7260169249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2" hidden="0" customWidth="1"/>
    <x:col min="15" max="15" width="12" hidden="0" customWidth="1"/>
    <x:col min="16" max="16" width="13" hidden="0" customWidth="1"/>
    <x:col min="17" max="17" width="12" hidden="0" customWidth="1"/>
    <x:col min="18" max="18" width="16" hidden="0" customWidth="1"/>
  </x:cols>
  <x:sheetData>
    <x:row r="1" ht="30" customHeight="1">
      <x:c r="A1" s="178" t="str">
        <x:v>库存清单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</x:row>
    <x:row r="2" ht="24" customHeight="1">
      <x:c r="A2" s="109" t="str">
        <x:v>库存快照日期为 2026-08-16；销售数量从销售日报自动汇总，库存状态和建议补货量由公式判断。
</x:v>
      </x:c>
      <x:c r="B2" s="109" t="str">
        <x:v>库存快照日期为 2026-08-16；销售数量从销售日报自动汇总，库存状态和建议补货量由公式判断。
</x:v>
      </x:c>
      <x:c r="C2" s="109" t="str">
        <x:v>库存快照日期为 2026-08-16；销售数量从销售日报自动汇总，库存状态和建议补货量由公式判断。
</x:v>
      </x:c>
      <x:c r="D2" s="109" t="str">
        <x:v>库存快照日期为 2026-08-16；销售数量从销售日报自动汇总，库存状态和建议补货量由公式判断。
</x:v>
      </x:c>
      <x:c r="E2" s="109" t="str">
        <x:v>库存快照日期为 2026-08-16；销售数量从销售日报自动汇总，库存状态和建议补货量由公式判断。
</x:v>
      </x:c>
      <x:c r="F2" s="109" t="str">
        <x:v>库存快照日期为 2026-08-16；销售数量从销售日报自动汇总，库存状态和建议补货量由公式判断。
</x:v>
      </x:c>
      <x:c r="G2" s="109" t="str">
        <x:v>库存快照日期为 2026-08-16；销售数量从销售日报自动汇总，库存状态和建议补货量由公式判断。
</x:v>
      </x:c>
      <x:c r="H2" s="109" t="str">
        <x:v>库存快照日期为 2026-08-16；销售数量从销售日报自动汇总，库存状态和建议补货量由公式判断。
</x:v>
      </x:c>
      <x:c r="I2" s="109" t="str">
        <x:v>库存快照日期为 2026-08-16；销售数量从销售日报自动汇总，库存状态和建议补货量由公式判断。
</x:v>
      </x:c>
      <x:c r="J2" s="109" t="str">
        <x:v>库存快照日期为 2026-08-16；销售数量从销售日报自动汇总，库存状态和建议补货量由公式判断。
</x:v>
      </x:c>
      <x:c r="K2" s="109" t="str">
        <x:v>库存快照日期为 2026-08-16；销售数量从销售日报自动汇总，库存状态和建议补货量由公式判断。
</x:v>
      </x:c>
      <x:c r="L2" s="109" t="str">
        <x:v>库存快照日期为 2026-08-16；销售数量从销售日报自动汇总，库存状态和建议补货量由公式判断。
</x:v>
      </x:c>
      <x:c r="M2" s="109" t="str">
        <x:v>库存快照日期为 2026-08-16；销售数量从销售日报自动汇总，库存状态和建议补货量由公式判断。
</x:v>
      </x:c>
      <x:c r="N2" s="109" t="str">
        <x:v>库存快照日期为 2026-08-16；销售数量从销售日报自动汇总，库存状态和建议补货量由公式判断。
</x:v>
      </x:c>
      <x:c r="O2" s="109" t="str">
        <x:v>库存快照日期为 2026-08-16；销售数量从销售日报自动汇总，库存状态和建议补货量由公式判断。
</x:v>
      </x:c>
      <x:c r="P2" s="109" t="str">
        <x:v>库存快照日期为 2026-08-16；销售数量从销售日报自动汇总，库存状态和建议补货量由公式判断。
</x:v>
      </x:c>
      <x:c r="Q2" s="109" t="str">
        <x:v>库存快照日期为 2026-08-16；销售数量从销售日报自动汇总，库存状态和建议补货量由公式判断。
</x:v>
      </x:c>
      <x:c r="R2" s="109" t="str">
        <x:v>库存快照日期为 2026-08-16；销售数量从销售日报自动汇总，库存状态和建议补货量由公式判断。
</x:v>
      </x:c>
    </x:row>
    <x:row r="3">
      <x:c r="A3" s="110"/>
      <x:c r="B3" s="110"/>
      <x:c r="C3" s="110"/>
      <x:c r="D3" s="110"/>
      <x:c r="E3" s="110"/>
      <x:c r="F3" s="110"/>
      <x:c r="G3" s="110"/>
      <x:c r="H3" s="110"/>
      <x:c r="I3" s="110"/>
      <x:c r="J3" s="110"/>
      <x:c r="K3" s="110"/>
      <x:c r="L3" s="110"/>
      <x:c r="M3" s="110"/>
      <x:c r="N3" s="110"/>
      <x:c r="O3" s="110"/>
      <x:c r="P3" s="110"/>
      <x:c r="Q3" s="110"/>
      <x:c r="R3" s="110"/>
    </x:row>
    <x:row r="4" ht="28" customHeight="1">
      <x:c r="A4" s="179" t="str">
        <x:v>日期</x:v>
      </x:c>
      <x:c r="B4" s="179" t="str">
        <x:v>门店编码</x:v>
      </x:c>
      <x:c r="C4" s="179" t="str">
        <x:v>门店名称</x:v>
      </x:c>
      <x:c r="D4" s="179" t="str">
        <x:v>商品编码</x:v>
      </x:c>
      <x:c r="E4" s="179" t="str">
        <x:v>商品名称</x:v>
      </x:c>
      <x:c r="F4" s="179" t="str">
        <x:v>类别</x:v>
      </x:c>
      <x:c r="G4" s="179" t="str">
        <x:v>期初库存</x:v>
      </x:c>
      <x:c r="H4" s="179" t="str">
        <x:v>入库数量</x:v>
      </x:c>
      <x:c r="I4" s="179" t="str">
        <x:v>销售数量</x:v>
      </x:c>
      <x:c r="J4" s="179" t="str">
        <x:v>报损数量</x:v>
      </x:c>
      <x:c r="K4" s="179" t="str">
        <x:v>期末库存</x:v>
      </x:c>
      <x:c r="L4" s="179" t="str">
        <x:v>安全库存</x:v>
      </x:c>
      <x:c r="M4" s="179" t="str">
        <x:v>库存状态</x:v>
      </x:c>
      <x:c r="N4" s="179" t="str">
        <x:v>建议补货量</x:v>
      </x:c>
      <x:c r="O4" s="179" t="str">
        <x:v>单位成本</x:v>
      </x:c>
      <x:c r="P4" s="179" t="str">
        <x:v>库存金额</x:v>
      </x:c>
      <x:c r="Q4" s="179" t="str">
        <x:v>盘点人</x:v>
      </x:c>
      <x:c r="R4" s="179" t="str">
        <x:v>备注</x:v>
      </x:c>
    </x:row>
    <x:row r="5">
      <x:c r="A5" s="160" t="n">
        <x:v>46250</x:v>
      </x:c>
      <x:c r="B5" s="161" t="str">
        <x:v>S001</x:v>
      </x:c>
      <x:c r="C5" s="181" t="str">
        <x:f>IFERROR(INDEX('门店主数据'!$B$5:$B$8,MATCH(B5,'门店主数据'!$A$5:$A$8,0)),"")</x:f>
        <x:v>人民广场店</x:v>
      </x:c>
      <x:c r="D5" s="161" t="str">
        <x:v>P001</x:v>
      </x:c>
      <x:c r="E5" s="181" t="str">
        <x:f>IFERROR(INDEX('商品主数据'!$B$5:$B$16,MATCH(D5,'商品主数据'!$A$5:$A$16,0)),"")</x:f>
        <x:v>浓缩咖啡</x:v>
      </x:c>
      <x:c r="F5" s="181" t="str">
        <x:f>IFERROR(INDEX('商品主数据'!$C$5:$C$16,MATCH(D5,'商品主数据'!$A$5:$A$16,0)),"")</x:f>
        <x:v>咖啡</x:v>
      </x:c>
      <x:c r="G5" s="162" t="n">
        <x:v>55</x:v>
      </x:c>
      <x:c r="H5" s="162" t="n">
        <x:v>50</x:v>
      </x:c>
      <x:c r="I5" s="187" t="n">
        <x:f>SUMIFS('商品销售日报'!$I$5:$I$148,'商品销售日报'!$A$5:$A$148,$A5,'商品销售日报'!$B$5:$B$148,$B5,'商品销售日报'!$D$5:$D$148,$D5)</x:f>
        <x:v>12</x:v>
      </x:c>
      <x:c r="J5" s="162" t="n">
        <x:v>1</x:v>
      </x:c>
      <x:c r="K5" s="187" t="n">
        <x:f>G5+H5-I5-J5</x:f>
        <x:v>92</x:v>
      </x:c>
      <x:c r="L5" s="187" t="n">
        <x:f>IFERROR(INDEX('商品主数据'!$G$5:$G$16,MATCH(D5,'商品主数据'!$A$5:$A$16,0)),"")</x:f>
        <x:v>50</x:v>
      </x:c>
      <x:c r="M5" s="141" t="str">
        <x:f>IF(K5&lt;=L5,"需补货",IF(K5&lt;=L5*1.5,"关注","正常"))</x:f>
        <x:v>正常</x:v>
      </x:c>
      <x:c r="N5" s="187" t="n">
        <x:f>MAX(L5*2-K5,0)</x:f>
        <x:v>8</x:v>
      </x:c>
      <x:c r="O5" s="184" t="n">
        <x:f>IFERROR(INDEX('商品主数据'!$F$5:$F$16,MATCH(D5,'商品主数据'!$A$5:$A$16,0)),"")</x:f>
        <x:v>5.5</x:v>
      </x:c>
      <x:c r="P5" s="184" t="n">
        <x:f>ROUND(K5*O5,2)</x:f>
        <x:v>506</x:v>
      </x:c>
      <x:c r="Q5" s="161"/>
      <x:c r="R5" s="164" t="str"/>
    </x:row>
    <x:row r="6">
      <x:c r="A6" s="165" t="n">
        <x:v>46250</x:v>
      </x:c>
      <x:c r="B6" s="166" t="str">
        <x:v>S001</x:v>
      </x:c>
      <x:c r="C6" s="182" t="str">
        <x:f>IFERROR(INDEX('门店主数据'!$B$5:$B$8,MATCH(B6,'门店主数据'!$A$5:$A$8,0)),"")</x:f>
        <x:v>人民广场店</x:v>
      </x:c>
      <x:c r="D6" s="166" t="str">
        <x:v>P002</x:v>
      </x:c>
      <x:c r="E6" s="182" t="str">
        <x:f>IFERROR(INDEX('商品主数据'!$B$5:$B$16,MATCH(D6,'商品主数据'!$A$5:$A$16,0)),"")</x:f>
        <x:v>美式咖啡</x:v>
      </x:c>
      <x:c r="F6" s="182" t="str">
        <x:f>IFERROR(INDEX('商品主数据'!$C$5:$C$16,MATCH(D6,'商品主数据'!$A$5:$A$16,0)),"")</x:f>
        <x:v>咖啡</x:v>
      </x:c>
      <x:c r="G6" s="167" t="n">
        <x:v>66</x:v>
      </x:c>
      <x:c r="H6" s="167" t="n">
        <x:v>30</x:v>
      </x:c>
      <x:c r="I6" s="189" t="n">
        <x:f>SUMIFS('商品销售日报'!$I$5:$I$148,'商品销售日报'!$A$5:$A$148,$A6,'商品销售日报'!$B$5:$B$148,$B6,'商品销售日报'!$D$5:$D$148,$D6)</x:f>
        <x:v>23</x:v>
      </x:c>
      <x:c r="J6" s="167" t="n">
        <x:v>0</x:v>
      </x:c>
      <x:c r="K6" s="189" t="n">
        <x:f>G6+H6-I6-J6</x:f>
        <x:v>73</x:v>
      </x:c>
      <x:c r="L6" s="189" t="n">
        <x:f>IFERROR(INDEX('商品主数据'!$G$5:$G$16,MATCH(D6,'商品主数据'!$A$5:$A$16,0)),"")</x:f>
        <x:v>60</x:v>
      </x:c>
      <x:c r="M6" s="146" t="str">
        <x:f>IF(K6&lt;=L6,"需补货",IF(K6&lt;=L6*1.5,"关注","正常"))</x:f>
        <x:v>关注</x:v>
      </x:c>
      <x:c r="N6" s="189" t="n">
        <x:f>MAX(L6*2-K6,0)</x:f>
        <x:v>47</x:v>
      </x:c>
      <x:c r="O6" s="185" t="n">
        <x:f>IFERROR(INDEX('商品主数据'!$F$5:$F$16,MATCH(D6,'商品主数据'!$A$5:$A$16,0)),"")</x:f>
        <x:v>6</x:v>
      </x:c>
      <x:c r="P6" s="185" t="n">
        <x:f>ROUND(K6*O6,2)</x:f>
        <x:v>438</x:v>
      </x:c>
      <x:c r="Q6" s="166"/>
      <x:c r="R6" s="169" t="str"/>
    </x:row>
    <x:row r="7">
      <x:c r="A7" s="165" t="n">
        <x:v>46250</x:v>
      </x:c>
      <x:c r="B7" s="166" t="str">
        <x:v>S001</x:v>
      </x:c>
      <x:c r="C7" s="182" t="str">
        <x:f>IFERROR(INDEX('门店主数据'!$B$5:$B$8,MATCH(B7,'门店主数据'!$A$5:$A$8,0)),"")</x:f>
        <x:v>人民广场店</x:v>
      </x:c>
      <x:c r="D7" s="166" t="str">
        <x:v>P003</x:v>
      </x:c>
      <x:c r="E7" s="182" t="str">
        <x:f>IFERROR(INDEX('商品主数据'!$B$5:$B$16,MATCH(D7,'商品主数据'!$A$5:$A$16,0)),"")</x:f>
        <x:v>拿铁咖啡</x:v>
      </x:c>
      <x:c r="F7" s="182" t="str">
        <x:f>IFERROR(INDEX('商品主数据'!$C$5:$C$16,MATCH(D7,'商品主数据'!$A$5:$A$16,0)),"")</x:f>
        <x:v>咖啡</x:v>
      </x:c>
      <x:c r="G7" s="167" t="n">
        <x:v>67</x:v>
      </x:c>
      <x:c r="H7" s="167" t="n">
        <x:v>30</x:v>
      </x:c>
      <x:c r="I7" s="189" t="n">
        <x:f>SUMIFS('商品销售日报'!$I$5:$I$148,'商品销售日报'!$A$5:$A$148,$A7,'商品销售日报'!$B$5:$B$148,$B7,'商品销售日报'!$D$5:$D$148,$D7)</x:f>
        <x:v>19</x:v>
      </x:c>
      <x:c r="J7" s="167" t="n">
        <x:v>0</x:v>
      </x:c>
      <x:c r="K7" s="189" t="n">
        <x:f>G7+H7-I7-J7</x:f>
        <x:v>78</x:v>
      </x:c>
      <x:c r="L7" s="189" t="n">
        <x:f>IFERROR(INDEX('商品主数据'!$G$5:$G$16,MATCH(D7,'商品主数据'!$A$5:$A$16,0)),"")</x:f>
        <x:v>60</x:v>
      </x:c>
      <x:c r="M7" s="146" t="str">
        <x:f>IF(K7&lt;=L7,"需补货",IF(K7&lt;=L7*1.5,"关注","正常"))</x:f>
        <x:v>关注</x:v>
      </x:c>
      <x:c r="N7" s="189" t="n">
        <x:f>MAX(L7*2-K7,0)</x:f>
        <x:v>42</x:v>
      </x:c>
      <x:c r="O7" s="185" t="n">
        <x:f>IFERROR(INDEX('商品主数据'!$F$5:$F$16,MATCH(D7,'商品主数据'!$A$5:$A$16,0)),"")</x:f>
        <x:v>8.5</x:v>
      </x:c>
      <x:c r="P7" s="185" t="n">
        <x:f>ROUND(K7*O7,2)</x:f>
        <x:v>663</x:v>
      </x:c>
      <x:c r="Q7" s="166"/>
      <x:c r="R7" s="169" t="str"/>
    </x:row>
    <x:row r="8">
      <x:c r="A8" s="165" t="n">
        <x:v>46250</x:v>
      </x:c>
      <x:c r="B8" s="166" t="str">
        <x:v>S001</x:v>
      </x:c>
      <x:c r="C8" s="182" t="str">
        <x:f>IFERROR(INDEX('门店主数据'!$B$5:$B$8,MATCH(B8,'门店主数据'!$A$5:$A$8,0)),"")</x:f>
        <x:v>人民广场店</x:v>
      </x:c>
      <x:c r="D8" s="166" t="str">
        <x:v>P004</x:v>
      </x:c>
      <x:c r="E8" s="182" t="str">
        <x:f>IFERROR(INDEX('商品主数据'!$B$5:$B$16,MATCH(D8,'商品主数据'!$A$5:$A$16,0)),"")</x:f>
        <x:v>卡布奇诺</x:v>
      </x:c>
      <x:c r="F8" s="182" t="str">
        <x:f>IFERROR(INDEX('商品主数据'!$C$5:$C$16,MATCH(D8,'商品主数据'!$A$5:$A$16,0)),"")</x:f>
        <x:v>咖啡</x:v>
      </x:c>
      <x:c r="G8" s="167" t="n">
        <x:v>48</x:v>
      </x:c>
      <x:c r="H8" s="167" t="n">
        <x:v>40</x:v>
      </x:c>
      <x:c r="I8" s="189" t="n">
        <x:f>SUMIFS('商品销售日报'!$I$5:$I$148,'商品销售日报'!$A$5:$A$148,$A8,'商品销售日报'!$B$5:$B$148,$B8,'商品销售日报'!$D$5:$D$148,$D8)</x:f>
        <x:v>13</x:v>
      </x:c>
      <x:c r="J8" s="167" t="n">
        <x:v>0</x:v>
      </x:c>
      <x:c r="K8" s="189" t="n">
        <x:f>G8+H8-I8-J8</x:f>
        <x:v>75</x:v>
      </x:c>
      <x:c r="L8" s="189" t="n">
        <x:f>IFERROR(INDEX('商品主数据'!$G$5:$G$16,MATCH(D8,'商品主数据'!$A$5:$A$16,0)),"")</x:f>
        <x:v>40</x:v>
      </x:c>
      <x:c r="M8" s="146" t="str">
        <x:f>IF(K8&lt;=L8,"需补货",IF(K8&lt;=L8*1.5,"关注","正常"))</x:f>
        <x:v>正常</x:v>
      </x:c>
      <x:c r="N8" s="189" t="n">
        <x:f>MAX(L8*2-K8,0)</x:f>
        <x:v>5</x:v>
      </x:c>
      <x:c r="O8" s="185" t="n">
        <x:f>IFERROR(INDEX('商品主数据'!$F$5:$F$16,MATCH(D8,'商品主数据'!$A$5:$A$16,0)),"")</x:f>
        <x:v>8.5</x:v>
      </x:c>
      <x:c r="P8" s="185" t="n">
        <x:f>ROUND(K8*O8,2)</x:f>
        <x:v>637.5</x:v>
      </x:c>
      <x:c r="Q8" s="166"/>
      <x:c r="R8" s="169" t="str"/>
    </x:row>
    <x:row r="9">
      <x:c r="A9" s="165" t="n">
        <x:v>46250</x:v>
      </x:c>
      <x:c r="B9" s="166" t="str">
        <x:v>S001</x:v>
      </x:c>
      <x:c r="C9" s="182" t="str">
        <x:f>IFERROR(INDEX('门店主数据'!$B$5:$B$8,MATCH(B9,'门店主数据'!$A$5:$A$8,0)),"")</x:f>
        <x:v>人民广场店</x:v>
      </x:c>
      <x:c r="D9" s="166" t="str">
        <x:v>P005</x:v>
      </x:c>
      <x:c r="E9" s="182" t="str">
        <x:f>IFERROR(INDEX('商品主数据'!$B$5:$B$16,MATCH(D9,'商品主数据'!$A$5:$A$16,0)),"")</x:f>
        <x:v>摩卡咖啡</x:v>
      </x:c>
      <x:c r="F9" s="182" t="str">
        <x:f>IFERROR(INDEX('商品主数据'!$C$5:$C$16,MATCH(D9,'商品主数据'!$A$5:$A$16,0)),"")</x:f>
        <x:v>咖啡</x:v>
      </x:c>
      <x:c r="G9" s="167" t="n">
        <x:v>49</x:v>
      </x:c>
      <x:c r="H9" s="167" t="n">
        <x:v>20</x:v>
      </x:c>
      <x:c r="I9" s="189" t="n">
        <x:f>SUMIFS('商品销售日报'!$I$5:$I$148,'商品销售日报'!$A$5:$A$148,$A9,'商品销售日报'!$B$5:$B$148,$B9,'商品销售日报'!$D$5:$D$148,$D9)</x:f>
        <x:v>7</x:v>
      </x:c>
      <x:c r="J9" s="167" t="n">
        <x:v>0</x:v>
      </x:c>
      <x:c r="K9" s="189" t="n">
        <x:f>G9+H9-I9-J9</x:f>
        <x:v>62</x:v>
      </x:c>
      <x:c r="L9" s="189" t="n">
        <x:f>IFERROR(INDEX('商品主数据'!$G$5:$G$16,MATCH(D9,'商品主数据'!$A$5:$A$16,0)),"")</x:f>
        <x:v>40</x:v>
      </x:c>
      <x:c r="M9" s="146" t="str">
        <x:f>IF(K9&lt;=L9,"需补货",IF(K9&lt;=L9*1.5,"关注","正常"))</x:f>
        <x:v>正常</x:v>
      </x:c>
      <x:c r="N9" s="189" t="n">
        <x:f>MAX(L9*2-K9,0)</x:f>
        <x:v>18</x:v>
      </x:c>
      <x:c r="O9" s="185" t="n">
        <x:f>IFERROR(INDEX('商品主数据'!$F$5:$F$16,MATCH(D9,'商品主数据'!$A$5:$A$16,0)),"")</x:f>
        <x:v>10</x:v>
      </x:c>
      <x:c r="P9" s="185" t="n">
        <x:f>ROUND(K9*O9,2)</x:f>
        <x:v>620</x:v>
      </x:c>
      <x:c r="Q9" s="166"/>
      <x:c r="R9" s="169" t="str"/>
    </x:row>
    <x:row r="10">
      <x:c r="A10" s="165" t="n">
        <x:v>46250</x:v>
      </x:c>
      <x:c r="B10" s="166" t="str">
        <x:v>S001</x:v>
      </x:c>
      <x:c r="C10" s="182" t="str">
        <x:f>IFERROR(INDEX('门店主数据'!$B$5:$B$8,MATCH(B10,'门店主数据'!$A$5:$A$8,0)),"")</x:f>
        <x:v>人民广场店</x:v>
      </x:c>
      <x:c r="D10" s="166" t="str">
        <x:v>P006</x:v>
      </x:c>
      <x:c r="E10" s="182" t="str">
        <x:f>IFERROR(INDEX('商品主数据'!$B$5:$B$16,MATCH(D10,'商品主数据'!$A$5:$A$16,0)),"")</x:f>
        <x:v>冷萃咖啡</x:v>
      </x:c>
      <x:c r="F10" s="182" t="str">
        <x:f>IFERROR(INDEX('商品主数据'!$C$5:$C$16,MATCH(D10,'商品主数据'!$A$5:$A$16,0)),"")</x:f>
        <x:v>咖啡</x:v>
      </x:c>
      <x:c r="G10" s="167" t="n">
        <x:v>50</x:v>
      </x:c>
      <x:c r="H10" s="167" t="n">
        <x:v>20</x:v>
      </x:c>
      <x:c r="I10" s="189" t="n">
        <x:f>SUMIFS('商品销售日报'!$I$5:$I$148,'商品销售日报'!$A$5:$A$148,$A10,'商品销售日报'!$B$5:$B$148,$B10,'商品销售日报'!$D$5:$D$148,$D10)</x:f>
        <x:v>9</x:v>
      </x:c>
      <x:c r="J10" s="167" t="n">
        <x:v>0</x:v>
      </x:c>
      <x:c r="K10" s="189" t="n">
        <x:f>G10+H10-I10-J10</x:f>
        <x:v>61</x:v>
      </x:c>
      <x:c r="L10" s="189" t="n">
        <x:f>IFERROR(INDEX('商品主数据'!$G$5:$G$16,MATCH(D10,'商品主数据'!$A$5:$A$16,0)),"")</x:f>
        <x:v>40</x:v>
      </x:c>
      <x:c r="M10" s="146" t="str">
        <x:f>IF(K10&lt;=L10,"需补货",IF(K10&lt;=L10*1.5,"关注","正常"))</x:f>
        <x:v>正常</x:v>
      </x:c>
      <x:c r="N10" s="189" t="n">
        <x:f>MAX(L10*2-K10,0)</x:f>
        <x:v>19</x:v>
      </x:c>
      <x:c r="O10" s="185" t="n">
        <x:f>IFERROR(INDEX('商品主数据'!$F$5:$F$16,MATCH(D10,'商品主数据'!$A$5:$A$16,0)),"")</x:f>
        <x:v>9.5</x:v>
      </x:c>
      <x:c r="P10" s="185" t="n">
        <x:f>ROUND(K10*O10,2)</x:f>
        <x:v>579.5</x:v>
      </x:c>
      <x:c r="Q10" s="166"/>
      <x:c r="R10" s="169" t="str"/>
    </x:row>
    <x:row r="11">
      <x:c r="A11" s="165" t="n">
        <x:v>46250</x:v>
      </x:c>
      <x:c r="B11" s="166" t="str">
        <x:v>S001</x:v>
      </x:c>
      <x:c r="C11" s="182" t="str">
        <x:f>IFERROR(INDEX('门店主数据'!$B$5:$B$8,MATCH(B11,'门店主数据'!$A$5:$A$8,0)),"")</x:f>
        <x:v>人民广场店</x:v>
      </x:c>
      <x:c r="D11" s="166" t="str">
        <x:v>P007</x:v>
      </x:c>
      <x:c r="E11" s="182" t="str">
        <x:f>IFERROR(INDEX('商品主数据'!$B$5:$B$16,MATCH(D11,'商品主数据'!$A$5:$A$16,0)),"")</x:f>
        <x:v>抹茶拿铁</x:v>
      </x:c>
      <x:c r="F11" s="182" t="str">
        <x:f>IFERROR(INDEX('商品主数据'!$C$5:$C$16,MATCH(D11,'商品主数据'!$A$5:$A$16,0)),"")</x:f>
        <x:v>茶饮</x:v>
      </x:c>
      <x:c r="G11" s="167" t="n">
        <x:v>46</x:v>
      </x:c>
      <x:c r="H11" s="167" t="n">
        <x:v>35</x:v>
      </x:c>
      <x:c r="I11" s="189" t="n">
        <x:f>SUMIFS('商品销售日报'!$I$5:$I$148,'商品销售日报'!$A$5:$A$148,$A11,'商品销售日报'!$B$5:$B$148,$B11,'商品销售日报'!$D$5:$D$148,$D11)</x:f>
        <x:v>8</x:v>
      </x:c>
      <x:c r="J11" s="167" t="n">
        <x:v>0</x:v>
      </x:c>
      <x:c r="K11" s="189" t="n">
        <x:f>G11+H11-I11-J11</x:f>
        <x:v>73</x:v>
      </x:c>
      <x:c r="L11" s="189" t="n">
        <x:f>IFERROR(INDEX('商品主数据'!$G$5:$G$16,MATCH(D11,'商品主数据'!$A$5:$A$16,0)),"")</x:f>
        <x:v>35</x:v>
      </x:c>
      <x:c r="M11" s="146" t="str">
        <x:f>IF(K11&lt;=L11,"需补货",IF(K11&lt;=L11*1.5,"关注","正常"))</x:f>
        <x:v>正常</x:v>
      </x:c>
      <x:c r="N11" s="189" t="n">
        <x:f>MAX(L11*2-K11,0)</x:f>
        <x:v>0</x:v>
      </x:c>
      <x:c r="O11" s="185" t="n">
        <x:f>IFERROR(INDEX('商品主数据'!$F$5:$F$16,MATCH(D11,'商品主数据'!$A$5:$A$16,0)),"")</x:f>
        <x:v>9</x:v>
      </x:c>
      <x:c r="P11" s="185" t="n">
        <x:f>ROUND(K11*O11,2)</x:f>
        <x:v>657</x:v>
      </x:c>
      <x:c r="Q11" s="166"/>
      <x:c r="R11" s="169" t="str"/>
    </x:row>
    <x:row r="12">
      <x:c r="A12" s="165" t="n">
        <x:v>46250</x:v>
      </x:c>
      <x:c r="B12" s="166" t="str">
        <x:v>S001</x:v>
      </x:c>
      <x:c r="C12" s="182" t="str">
        <x:f>IFERROR(INDEX('门店主数据'!$B$5:$B$8,MATCH(B12,'门店主数据'!$A$5:$A$8,0)),"")</x:f>
        <x:v>人民广场店</x:v>
      </x:c>
      <x:c r="D12" s="166" t="str">
        <x:v>P008</x:v>
      </x:c>
      <x:c r="E12" s="182" t="str">
        <x:f>IFERROR(INDEX('商品主数据'!$B$5:$B$16,MATCH(D12,'商品主数据'!$A$5:$A$16,0)),"")</x:f>
        <x:v>海盐芝士蛋糕</x:v>
      </x:c>
      <x:c r="F12" s="182" t="str">
        <x:f>IFERROR(INDEX('商品主数据'!$C$5:$C$16,MATCH(D12,'商品主数据'!$A$5:$A$16,0)),"")</x:f>
        <x:v>烘焙</x:v>
      </x:c>
      <x:c r="G12" s="167" t="n">
        <x:v>37</x:v>
      </x:c>
      <x:c r="H12" s="167" t="n">
        <x:v>12</x:v>
      </x:c>
      <x:c r="I12" s="189" t="n">
        <x:f>SUMIFS('商品销售日报'!$I$5:$I$148,'商品销售日报'!$A$5:$A$148,$A12,'商品销售日报'!$B$5:$B$148,$B12,'商品销售日报'!$D$5:$D$148,$D12)</x:f>
        <x:v>4</x:v>
      </x:c>
      <x:c r="J12" s="167" t="n">
        <x:v>1</x:v>
      </x:c>
      <x:c r="K12" s="189" t="n">
        <x:f>G12+H12-I12-J12</x:f>
        <x:v>44</x:v>
      </x:c>
      <x:c r="L12" s="189" t="n">
        <x:f>IFERROR(INDEX('商品主数据'!$G$5:$G$16,MATCH(D12,'商品主数据'!$A$5:$A$16,0)),"")</x:f>
        <x:v>25</x:v>
      </x:c>
      <x:c r="M12" s="146" t="str">
        <x:f>IF(K12&lt;=L12,"需补货",IF(K12&lt;=L12*1.5,"关注","正常"))</x:f>
        <x:v>正常</x:v>
      </x:c>
      <x:c r="N12" s="189" t="n">
        <x:f>MAX(L12*2-K12,0)</x:f>
        <x:v>6</x:v>
      </x:c>
      <x:c r="O12" s="185" t="n">
        <x:f>IFERROR(INDEX('商品主数据'!$F$5:$F$16,MATCH(D12,'商品主数据'!$A$5:$A$16,0)),"")</x:f>
        <x:v>16</x:v>
      </x:c>
      <x:c r="P12" s="185" t="n">
        <x:f>ROUND(K12*O12,2)</x:f>
        <x:v>704</x:v>
      </x:c>
      <x:c r="Q12" s="166"/>
      <x:c r="R12" s="169" t="str"/>
    </x:row>
    <x:row r="13">
      <x:c r="A13" s="165" t="n">
        <x:v>46250</x:v>
      </x:c>
      <x:c r="B13" s="166" t="str">
        <x:v>S001</x:v>
      </x:c>
      <x:c r="C13" s="182" t="str">
        <x:f>IFERROR(INDEX('门店主数据'!$B$5:$B$8,MATCH(B13,'门店主数据'!$A$5:$A$8,0)),"")</x:f>
        <x:v>人民广场店</x:v>
      </x:c>
      <x:c r="D13" s="166" t="str">
        <x:v>P009</x:v>
      </x:c>
      <x:c r="E13" s="182" t="str">
        <x:f>IFERROR(INDEX('商品主数据'!$B$5:$B$16,MATCH(D13,'商品主数据'!$A$5:$A$16,0)),"")</x:f>
        <x:v>黄油可颂</x:v>
      </x:c>
      <x:c r="F13" s="182" t="str">
        <x:f>IFERROR(INDEX('商品主数据'!$C$5:$C$16,MATCH(D13,'商品主数据'!$A$5:$A$16,0)),"")</x:f>
        <x:v>烘焙</x:v>
      </x:c>
      <x:c r="G13" s="167" t="n">
        <x:v>45</x:v>
      </x:c>
      <x:c r="H13" s="167" t="n">
        <x:v>20</x:v>
      </x:c>
      <x:c r="I13" s="189" t="n">
        <x:f>SUMIFS('商品销售日报'!$I$5:$I$148,'商品销售日报'!$A$5:$A$148,$A13,'商品销售日报'!$B$5:$B$148,$B13,'商品销售日报'!$D$5:$D$148,$D13)</x:f>
        <x:v>13</x:v>
      </x:c>
      <x:c r="J13" s="167" t="n">
        <x:v>0</x:v>
      </x:c>
      <x:c r="K13" s="189" t="n">
        <x:f>G13+H13-I13-J13</x:f>
        <x:v>52</x:v>
      </x:c>
      <x:c r="L13" s="189" t="n">
        <x:f>IFERROR(INDEX('商品主数据'!$G$5:$G$16,MATCH(D13,'商品主数据'!$A$5:$A$16,0)),"")</x:f>
        <x:v>40</x:v>
      </x:c>
      <x:c r="M13" s="146" t="str">
        <x:f>IF(K13&lt;=L13,"需补货",IF(K13&lt;=L13*1.5,"关注","正常"))</x:f>
        <x:v>关注</x:v>
      </x:c>
      <x:c r="N13" s="189" t="n">
        <x:f>MAX(L13*2-K13,0)</x:f>
        <x:v>28</x:v>
      </x:c>
      <x:c r="O13" s="185" t="n">
        <x:f>IFERROR(INDEX('商品主数据'!$F$5:$F$16,MATCH(D13,'商品主数据'!$A$5:$A$16,0)),"")</x:f>
        <x:v>6</x:v>
      </x:c>
      <x:c r="P13" s="185" t="n">
        <x:f>ROUND(K13*O13,2)</x:f>
        <x:v>312</x:v>
      </x:c>
      <x:c r="Q13" s="166"/>
      <x:c r="R13" s="169" t="str"/>
    </x:row>
    <x:row r="14">
      <x:c r="A14" s="165" t="n">
        <x:v>46250</x:v>
      </x:c>
      <x:c r="B14" s="166" t="str">
        <x:v>S001</x:v>
      </x:c>
      <x:c r="C14" s="182" t="str">
        <x:f>IFERROR(INDEX('门店主数据'!$B$5:$B$8,MATCH(B14,'门店主数据'!$A$5:$A$8,0)),"")</x:f>
        <x:v>人民广场店</x:v>
      </x:c>
      <x:c r="D14" s="166" t="str">
        <x:v>P010</x:v>
      </x:c>
      <x:c r="E14" s="182" t="str">
        <x:f>IFERROR(INDEX('商品主数据'!$B$5:$B$16,MATCH(D14,'商品主数据'!$A$5:$A$16,0)),"")</x:f>
        <x:v>蓝莓玛芬</x:v>
      </x:c>
      <x:c r="F14" s="182" t="str">
        <x:f>IFERROR(INDEX('商品主数据'!$C$5:$C$16,MATCH(D14,'商品主数据'!$A$5:$A$16,0)),"")</x:f>
        <x:v>烘焙</x:v>
      </x:c>
      <x:c r="G14" s="167" t="n">
        <x:v>41</x:v>
      </x:c>
      <x:c r="H14" s="167" t="n">
        <x:v>35</x:v>
      </x:c>
      <x:c r="I14" s="189" t="n">
        <x:f>SUMIFS('商品销售日报'!$I$5:$I$148,'商品销售日报'!$A$5:$A$148,$A14,'商品销售日报'!$B$5:$B$148,$B14,'商品销售日报'!$D$5:$D$148,$D14)</x:f>
        <x:v>10</x:v>
      </x:c>
      <x:c r="J14" s="167" t="n">
        <x:v>0</x:v>
      </x:c>
      <x:c r="K14" s="189" t="n">
        <x:f>G14+H14-I14-J14</x:f>
        <x:v>66</x:v>
      </x:c>
      <x:c r="L14" s="189" t="n">
        <x:f>IFERROR(INDEX('商品主数据'!$G$5:$G$16,MATCH(D14,'商品主数据'!$A$5:$A$16,0)),"")</x:f>
        <x:v>35</x:v>
      </x:c>
      <x:c r="M14" s="146" t="str">
        <x:f>IF(K14&lt;=L14,"需补货",IF(K14&lt;=L14*1.5,"关注","正常"))</x:f>
        <x:v>正常</x:v>
      </x:c>
      <x:c r="N14" s="189" t="n">
        <x:f>MAX(L14*2-K14,0)</x:f>
        <x:v>4</x:v>
      </x:c>
      <x:c r="O14" s="185" t="n">
        <x:f>IFERROR(INDEX('商品主数据'!$F$5:$F$16,MATCH(D14,'商品主数据'!$A$5:$A$16,0)),"")</x:f>
        <x:v>5</x:v>
      </x:c>
      <x:c r="P14" s="185" t="n">
        <x:f>ROUND(K14*O14,2)</x:f>
        <x:v>330</x:v>
      </x:c>
      <x:c r="Q14" s="166"/>
      <x:c r="R14" s="169" t="str"/>
    </x:row>
    <x:row r="15">
      <x:c r="A15" s="165" t="n">
        <x:v>46250</x:v>
      </x:c>
      <x:c r="B15" s="166" t="str">
        <x:v>S001</x:v>
      </x:c>
      <x:c r="C15" s="182" t="str">
        <x:f>IFERROR(INDEX('门店主数据'!$B$5:$B$8,MATCH(B15,'门店主数据'!$A$5:$A$8,0)),"")</x:f>
        <x:v>人民广场店</x:v>
      </x:c>
      <x:c r="D15" s="166" t="str">
        <x:v>P011</x:v>
      </x:c>
      <x:c r="E15" s="182" t="str">
        <x:f>IFERROR(INDEX('商品主数据'!$B$5:$B$16,MATCH(D15,'商品主数据'!$A$5:$A$16,0)),"")</x:f>
        <x:v>火腿芝士三明治</x:v>
      </x:c>
      <x:c r="F15" s="182" t="str">
        <x:f>IFERROR(INDEX('商品主数据'!$C$5:$C$16,MATCH(D15,'商品主数据'!$A$5:$A$16,0)),"")</x:f>
        <x:v>轻食</x:v>
      </x:c>
      <x:c r="G15" s="167" t="n">
        <x:v>32</x:v>
      </x:c>
      <x:c r="H15" s="167" t="n">
        <x:v>12</x:v>
      </x:c>
      <x:c r="I15" s="189" t="n">
        <x:f>SUMIFS('商品销售日报'!$I$5:$I$148,'商品销售日报'!$A$5:$A$148,$A15,'商品销售日报'!$B$5:$B$148,$B15,'商品销售日报'!$D$5:$D$148,$D15)</x:f>
        <x:v>6</x:v>
      </x:c>
      <x:c r="J15" s="167" t="n">
        <x:v>0</x:v>
      </x:c>
      <x:c r="K15" s="189" t="n">
        <x:f>G15+H15-I15-J15</x:f>
        <x:v>38</x:v>
      </x:c>
      <x:c r="L15" s="189" t="n">
        <x:f>IFERROR(INDEX('商品主数据'!$G$5:$G$16,MATCH(D15,'商品主数据'!$A$5:$A$16,0)),"")</x:f>
        <x:v>25</x:v>
      </x:c>
      <x:c r="M15" s="146" t="str">
        <x:f>IF(K15&lt;=L15,"需补货",IF(K15&lt;=L15*1.5,"关注","正常"))</x:f>
        <x:v>正常</x:v>
      </x:c>
      <x:c r="N15" s="189" t="n">
        <x:f>MAX(L15*2-K15,0)</x:f>
        <x:v>12</x:v>
      </x:c>
      <x:c r="O15" s="185" t="n">
        <x:f>IFERROR(INDEX('商品主数据'!$F$5:$F$16,MATCH(D15,'商品主数据'!$A$5:$A$16,0)),"")</x:f>
        <x:v>13</x:v>
      </x:c>
      <x:c r="P15" s="185" t="n">
        <x:f>ROUND(K15*O15,2)</x:f>
        <x:v>494</x:v>
      </x:c>
      <x:c r="Q15" s="166"/>
      <x:c r="R15" s="169" t="str"/>
    </x:row>
    <x:row r="16">
      <x:c r="A16" s="165" t="n">
        <x:v>46250</x:v>
      </x:c>
      <x:c r="B16" s="166" t="str">
        <x:v>S001</x:v>
      </x:c>
      <x:c r="C16" s="182" t="str">
        <x:f>IFERROR(INDEX('门店主数据'!$B$5:$B$8,MATCH(B16,'门店主数据'!$A$5:$A$8,0)),"")</x:f>
        <x:v>人民广场店</x:v>
      </x:c>
      <x:c r="D16" s="166" t="str">
        <x:v>P012</x:v>
      </x:c>
      <x:c r="E16" s="182" t="str">
        <x:f>IFERROR(INDEX('商品主数据'!$B$5:$B$16,MATCH(D16,'商品主数据'!$A$5:$A$16,0)),"")</x:f>
        <x:v>燕麦奶加料</x:v>
      </x:c>
      <x:c r="F16" s="182" t="str">
        <x:f>IFERROR(INDEX('商品主数据'!$C$5:$C$16,MATCH(D16,'商品主数据'!$A$5:$A$16,0)),"")</x:f>
        <x:v>加料</x:v>
      </x:c>
      <x:c r="G16" s="167" t="n">
        <x:v>38</x:v>
      </x:c>
      <x:c r="H16" s="167" t="n">
        <x:v>15</x:v>
      </x:c>
      <x:c r="I16" s="189" t="n">
        <x:f>SUMIFS('商品销售日报'!$I$5:$I$148,'商品销售日报'!$A$5:$A$148,$A16,'商品销售日报'!$B$5:$B$148,$B16,'商品销售日报'!$D$5:$D$148,$D16)</x:f>
        <x:v>4</x:v>
      </x:c>
      <x:c r="J16" s="167" t="n">
        <x:v>0</x:v>
      </x:c>
      <x:c r="K16" s="189" t="n">
        <x:f>G16+H16-I16-J16</x:f>
        <x:v>49</x:v>
      </x:c>
      <x:c r="L16" s="189" t="n">
        <x:f>IFERROR(INDEX('商品主数据'!$G$5:$G$16,MATCH(D16,'商品主数据'!$A$5:$A$16,0)),"")</x:f>
        <x:v>30</x:v>
      </x:c>
      <x:c r="M16" s="146" t="str">
        <x:f>IF(K16&lt;=L16,"需补货",IF(K16&lt;=L16*1.5,"关注","正常"))</x:f>
        <x:v>正常</x:v>
      </x:c>
      <x:c r="N16" s="189" t="n">
        <x:f>MAX(L16*2-K16,0)</x:f>
        <x:v>11</x:v>
      </x:c>
      <x:c r="O16" s="185" t="n">
        <x:f>IFERROR(INDEX('商品主数据'!$F$5:$F$16,MATCH(D16,'商品主数据'!$A$5:$A$16,0)),"")</x:f>
        <x:v>1.8</x:v>
      </x:c>
      <x:c r="P16" s="185" t="n">
        <x:f>ROUND(K16*O16,2)</x:f>
        <x:v>88.2</x:v>
      </x:c>
      <x:c r="Q16" s="166"/>
      <x:c r="R16" s="169" t="str"/>
    </x:row>
    <x:row r="17">
      <x:c r="A17" s="165" t="n">
        <x:v>46250</x:v>
      </x:c>
      <x:c r="B17" s="166" t="str">
        <x:v>S002</x:v>
      </x:c>
      <x:c r="C17" s="182" t="str">
        <x:f>IFERROR(INDEX('门店主数据'!$B$5:$B$8,MATCH(B17,'门店主数据'!$A$5:$A$8,0)),"")</x:f>
        <x:v>滨江店</x:v>
      </x:c>
      <x:c r="D17" s="166" t="str">
        <x:v>P001</x:v>
      </x:c>
      <x:c r="E17" s="182" t="str">
        <x:f>IFERROR(INDEX('商品主数据'!$B$5:$B$16,MATCH(D17,'商品主数据'!$A$5:$A$16,0)),"")</x:f>
        <x:v>浓缩咖啡</x:v>
      </x:c>
      <x:c r="F17" s="182" t="str">
        <x:f>IFERROR(INDEX('商品主数据'!$C$5:$C$16,MATCH(D17,'商品主数据'!$A$5:$A$16,0)),"")</x:f>
        <x:v>咖啡</x:v>
      </x:c>
      <x:c r="G17" s="167" t="n">
        <x:v>56</x:v>
      </x:c>
      <x:c r="H17" s="167" t="n">
        <x:v>25</x:v>
      </x:c>
      <x:c r="I17" s="189" t="n">
        <x:f>SUMIFS('商品销售日报'!$I$5:$I$148,'商品销售日报'!$A$5:$A$148,$A17,'商品销售日报'!$B$5:$B$148,$B17,'商品销售日报'!$D$5:$D$148,$D17)</x:f>
        <x:v>8</x:v>
      </x:c>
      <x:c r="J17" s="167" t="n">
        <x:v>0</x:v>
      </x:c>
      <x:c r="K17" s="189" t="n">
        <x:f>G17+H17-I17-J17</x:f>
        <x:v>73</x:v>
      </x:c>
      <x:c r="L17" s="189" t="n">
        <x:f>IFERROR(INDEX('商品主数据'!$G$5:$G$16,MATCH(D17,'商品主数据'!$A$5:$A$16,0)),"")</x:f>
        <x:v>50</x:v>
      </x:c>
      <x:c r="M17" s="146" t="str">
        <x:f>IF(K17&lt;=L17,"需补货",IF(K17&lt;=L17*1.5,"关注","正常"))</x:f>
        <x:v>关注</x:v>
      </x:c>
      <x:c r="N17" s="189" t="n">
        <x:f>MAX(L17*2-K17,0)</x:f>
        <x:v>27</x:v>
      </x:c>
      <x:c r="O17" s="185" t="n">
        <x:f>IFERROR(INDEX('商品主数据'!$F$5:$F$16,MATCH(D17,'商品主数据'!$A$5:$A$16,0)),"")</x:f>
        <x:v>5.5</x:v>
      </x:c>
      <x:c r="P17" s="185" t="n">
        <x:f>ROUND(K17*O17,2)</x:f>
        <x:v>401.5</x:v>
      </x:c>
      <x:c r="Q17" s="166"/>
      <x:c r="R17" s="169" t="str"/>
    </x:row>
    <x:row r="18">
      <x:c r="A18" s="165" t="n">
        <x:v>46250</x:v>
      </x:c>
      <x:c r="B18" s="166" t="str">
        <x:v>S002</x:v>
      </x:c>
      <x:c r="C18" s="182" t="str">
        <x:f>IFERROR(INDEX('门店主数据'!$B$5:$B$8,MATCH(B18,'门店主数据'!$A$5:$A$8,0)),"")</x:f>
        <x:v>滨江店</x:v>
      </x:c>
      <x:c r="D18" s="166" t="str">
        <x:v>P002</x:v>
      </x:c>
      <x:c r="E18" s="182" t="str">
        <x:f>IFERROR(INDEX('商品主数据'!$B$5:$B$16,MATCH(D18,'商品主数据'!$A$5:$A$16,0)),"")</x:f>
        <x:v>美式咖啡</x:v>
      </x:c>
      <x:c r="F18" s="182" t="str">
        <x:f>IFERROR(INDEX('商品主数据'!$C$5:$C$16,MATCH(D18,'商品主数据'!$A$5:$A$16,0)),"")</x:f>
        <x:v>咖啡</x:v>
      </x:c>
      <x:c r="G18" s="167" t="n">
        <x:v>67</x:v>
      </x:c>
      <x:c r="H18" s="167" t="n">
        <x:v>30</x:v>
      </x:c>
      <x:c r="I18" s="189" t="n">
        <x:f>SUMIFS('商品销售日报'!$I$5:$I$148,'商品销售日报'!$A$5:$A$148,$A18,'商品销售日报'!$B$5:$B$148,$B18,'商品销售日报'!$D$5:$D$148,$D18)</x:f>
        <x:v>20</x:v>
      </x:c>
      <x:c r="J18" s="167" t="n">
        <x:v>0</x:v>
      </x:c>
      <x:c r="K18" s="189" t="n">
        <x:f>G18+H18-I18-J18</x:f>
        <x:v>77</x:v>
      </x:c>
      <x:c r="L18" s="189" t="n">
        <x:f>IFERROR(INDEX('商品主数据'!$G$5:$G$16,MATCH(D18,'商品主数据'!$A$5:$A$16,0)),"")</x:f>
        <x:v>60</x:v>
      </x:c>
      <x:c r="M18" s="146" t="str">
        <x:f>IF(K18&lt;=L18,"需补货",IF(K18&lt;=L18*1.5,"关注","正常"))</x:f>
        <x:v>关注</x:v>
      </x:c>
      <x:c r="N18" s="189" t="n">
        <x:f>MAX(L18*2-K18,0)</x:f>
        <x:v>43</x:v>
      </x:c>
      <x:c r="O18" s="185" t="n">
        <x:f>IFERROR(INDEX('商品主数据'!$F$5:$F$16,MATCH(D18,'商品主数据'!$A$5:$A$16,0)),"")</x:f>
        <x:v>6</x:v>
      </x:c>
      <x:c r="P18" s="185" t="n">
        <x:f>ROUND(K18*O18,2)</x:f>
        <x:v>462</x:v>
      </x:c>
      <x:c r="Q18" s="166"/>
      <x:c r="R18" s="169" t="str"/>
    </x:row>
    <x:row r="19">
      <x:c r="A19" s="165" t="n">
        <x:v>46250</x:v>
      </x:c>
      <x:c r="B19" s="166" t="str">
        <x:v>S002</x:v>
      </x:c>
      <x:c r="C19" s="182" t="str">
        <x:f>IFERROR(INDEX('门店主数据'!$B$5:$B$8,MATCH(B19,'门店主数据'!$A$5:$A$8,0)),"")</x:f>
        <x:v>滨江店</x:v>
      </x:c>
      <x:c r="D19" s="166" t="str">
        <x:v>P003</x:v>
      </x:c>
      <x:c r="E19" s="182" t="str">
        <x:f>IFERROR(INDEX('商品主数据'!$B$5:$B$16,MATCH(D19,'商品主数据'!$A$5:$A$16,0)),"")</x:f>
        <x:v>拿铁咖啡</x:v>
      </x:c>
      <x:c r="F19" s="182" t="str">
        <x:f>IFERROR(INDEX('商品主数据'!$C$5:$C$16,MATCH(D19,'商品主数据'!$A$5:$A$16,0)),"")</x:f>
        <x:v>咖啡</x:v>
      </x:c>
      <x:c r="G19" s="167" t="n">
        <x:v>68</x:v>
      </x:c>
      <x:c r="H19" s="167" t="n">
        <x:v>60</x:v>
      </x:c>
      <x:c r="I19" s="189" t="n">
        <x:f>SUMIFS('商品销售日报'!$I$5:$I$148,'商品销售日报'!$A$5:$A$148,$A19,'商品销售日报'!$B$5:$B$148,$B19,'商品销售日报'!$D$5:$D$148,$D19)</x:f>
        <x:v>16</x:v>
      </x:c>
      <x:c r="J19" s="167" t="n">
        <x:v>0</x:v>
      </x:c>
      <x:c r="K19" s="189" t="n">
        <x:f>G19+H19-I19-J19</x:f>
        <x:v>112</x:v>
      </x:c>
      <x:c r="L19" s="189" t="n">
        <x:f>IFERROR(INDEX('商品主数据'!$G$5:$G$16,MATCH(D19,'商品主数据'!$A$5:$A$16,0)),"")</x:f>
        <x:v>60</x:v>
      </x:c>
      <x:c r="M19" s="146" t="str">
        <x:f>IF(K19&lt;=L19,"需补货",IF(K19&lt;=L19*1.5,"关注","正常"))</x:f>
        <x:v>正常</x:v>
      </x:c>
      <x:c r="N19" s="189" t="n">
        <x:f>MAX(L19*2-K19,0)</x:f>
        <x:v>8</x:v>
      </x:c>
      <x:c r="O19" s="185" t="n">
        <x:f>IFERROR(INDEX('商品主数据'!$F$5:$F$16,MATCH(D19,'商品主数据'!$A$5:$A$16,0)),"")</x:f>
        <x:v>8.5</x:v>
      </x:c>
      <x:c r="P19" s="185" t="n">
        <x:f>ROUND(K19*O19,2)</x:f>
        <x:v>952</x:v>
      </x:c>
      <x:c r="Q19" s="166"/>
      <x:c r="R19" s="169" t="str"/>
    </x:row>
    <x:row r="20">
      <x:c r="A20" s="165" t="n">
        <x:v>46250</x:v>
      </x:c>
      <x:c r="B20" s="166" t="str">
        <x:v>S002</x:v>
      </x:c>
      <x:c r="C20" s="182" t="str">
        <x:f>IFERROR(INDEX('门店主数据'!$B$5:$B$8,MATCH(B20,'门店主数据'!$A$5:$A$8,0)),"")</x:f>
        <x:v>滨江店</x:v>
      </x:c>
      <x:c r="D20" s="166" t="str">
        <x:v>P004</x:v>
      </x:c>
      <x:c r="E20" s="182" t="str">
        <x:f>IFERROR(INDEX('商品主数据'!$B$5:$B$16,MATCH(D20,'商品主数据'!$A$5:$A$16,0)),"")</x:f>
        <x:v>卡布奇诺</x:v>
      </x:c>
      <x:c r="F20" s="182" t="str">
        <x:f>IFERROR(INDEX('商品主数据'!$C$5:$C$16,MATCH(D20,'商品主数据'!$A$5:$A$16,0)),"")</x:f>
        <x:v>咖啡</x:v>
      </x:c>
      <x:c r="G20" s="167" t="n">
        <x:v>49</x:v>
      </x:c>
      <x:c r="H20" s="167" t="n">
        <x:v>20</x:v>
      </x:c>
      <x:c r="I20" s="189" t="n">
        <x:f>SUMIFS('商品销售日报'!$I$5:$I$148,'商品销售日报'!$A$5:$A$148,$A20,'商品销售日报'!$B$5:$B$148,$B20,'商品销售日报'!$D$5:$D$148,$D20)</x:f>
        <x:v>9</x:v>
      </x:c>
      <x:c r="J20" s="167" t="n">
        <x:v>0</x:v>
      </x:c>
      <x:c r="K20" s="189" t="n">
        <x:f>G20+H20-I20-J20</x:f>
        <x:v>60</x:v>
      </x:c>
      <x:c r="L20" s="189" t="n">
        <x:f>IFERROR(INDEX('商品主数据'!$G$5:$G$16,MATCH(D20,'商品主数据'!$A$5:$A$16,0)),"")</x:f>
        <x:v>40</x:v>
      </x:c>
      <x:c r="M20" s="146" t="str">
        <x:f>IF(K20&lt;=L20,"需补货",IF(K20&lt;=L20*1.5,"关注","正常"))</x:f>
        <x:v>关注</x:v>
      </x:c>
      <x:c r="N20" s="189" t="n">
        <x:f>MAX(L20*2-K20,0)</x:f>
        <x:v>20</x:v>
      </x:c>
      <x:c r="O20" s="185" t="n">
        <x:f>IFERROR(INDEX('商品主数据'!$F$5:$F$16,MATCH(D20,'商品主数据'!$A$5:$A$16,0)),"")</x:f>
        <x:v>8.5</x:v>
      </x:c>
      <x:c r="P20" s="185" t="n">
        <x:f>ROUND(K20*O20,2)</x:f>
        <x:v>510</x:v>
      </x:c>
      <x:c r="Q20" s="166"/>
      <x:c r="R20" s="169" t="str"/>
    </x:row>
    <x:row r="21">
      <x:c r="A21" s="165" t="n">
        <x:v>46250</x:v>
      </x:c>
      <x:c r="B21" s="166" t="str">
        <x:v>S002</x:v>
      </x:c>
      <x:c r="C21" s="182" t="str">
        <x:f>IFERROR(INDEX('门店主数据'!$B$5:$B$8,MATCH(B21,'门店主数据'!$A$5:$A$8,0)),"")</x:f>
        <x:v>滨江店</x:v>
      </x:c>
      <x:c r="D21" s="166" t="str">
        <x:v>P005</x:v>
      </x:c>
      <x:c r="E21" s="182" t="str">
        <x:f>IFERROR(INDEX('商品主数据'!$B$5:$B$16,MATCH(D21,'商品主数据'!$A$5:$A$16,0)),"")</x:f>
        <x:v>摩卡咖啡</x:v>
      </x:c>
      <x:c r="F21" s="182" t="str">
        <x:f>IFERROR(INDEX('商品主数据'!$C$5:$C$16,MATCH(D21,'商品主数据'!$A$5:$A$16,0)),"")</x:f>
        <x:v>咖啡</x:v>
      </x:c>
      <x:c r="G21" s="167" t="n">
        <x:v>50</x:v>
      </x:c>
      <x:c r="H21" s="167" t="n">
        <x:v>20</x:v>
      </x:c>
      <x:c r="I21" s="189" t="n">
        <x:f>SUMIFS('商品销售日报'!$I$5:$I$148,'商品销售日报'!$A$5:$A$148,$A21,'商品销售日报'!$B$5:$B$148,$B21,'商品销售日报'!$D$5:$D$148,$D21)</x:f>
        <x:v>7</x:v>
      </x:c>
      <x:c r="J21" s="167" t="n">
        <x:v>0</x:v>
      </x:c>
      <x:c r="K21" s="189" t="n">
        <x:f>G21+H21-I21-J21</x:f>
        <x:v>63</x:v>
      </x:c>
      <x:c r="L21" s="189" t="n">
        <x:f>IFERROR(INDEX('商品主数据'!$G$5:$G$16,MATCH(D21,'商品主数据'!$A$5:$A$16,0)),"")</x:f>
        <x:v>40</x:v>
      </x:c>
      <x:c r="M21" s="146" t="str">
        <x:f>IF(K21&lt;=L21,"需补货",IF(K21&lt;=L21*1.5,"关注","正常"))</x:f>
        <x:v>正常</x:v>
      </x:c>
      <x:c r="N21" s="189" t="n">
        <x:f>MAX(L21*2-K21,0)</x:f>
        <x:v>17</x:v>
      </x:c>
      <x:c r="O21" s="185" t="n">
        <x:f>IFERROR(INDEX('商品主数据'!$F$5:$F$16,MATCH(D21,'商品主数据'!$A$5:$A$16,0)),"")</x:f>
        <x:v>10</x:v>
      </x:c>
      <x:c r="P21" s="185" t="n">
        <x:f>ROUND(K21*O21,2)</x:f>
        <x:v>630</x:v>
      </x:c>
      <x:c r="Q21" s="166"/>
      <x:c r="R21" s="169" t="str"/>
    </x:row>
    <x:row r="22">
      <x:c r="A22" s="165" t="n">
        <x:v>46250</x:v>
      </x:c>
      <x:c r="B22" s="166" t="str">
        <x:v>S002</x:v>
      </x:c>
      <x:c r="C22" s="182" t="str">
        <x:f>IFERROR(INDEX('门店主数据'!$B$5:$B$8,MATCH(B22,'门店主数据'!$A$5:$A$8,0)),"")</x:f>
        <x:v>滨江店</x:v>
      </x:c>
      <x:c r="D22" s="166" t="str">
        <x:v>P006</x:v>
      </x:c>
      <x:c r="E22" s="182" t="str">
        <x:f>IFERROR(INDEX('商品主数据'!$B$5:$B$16,MATCH(D22,'商品主数据'!$A$5:$A$16,0)),"")</x:f>
        <x:v>冷萃咖啡</x:v>
      </x:c>
      <x:c r="F22" s="182" t="str">
        <x:f>IFERROR(INDEX('商品主数据'!$C$5:$C$16,MATCH(D22,'商品主数据'!$A$5:$A$16,0)),"")</x:f>
        <x:v>咖啡</x:v>
      </x:c>
      <x:c r="G22" s="167" t="n">
        <x:v>51</x:v>
      </x:c>
      <x:c r="H22" s="167" t="n">
        <x:v>40</x:v>
      </x:c>
      <x:c r="I22" s="189" t="n">
        <x:f>SUMIFS('商品销售日报'!$I$5:$I$148,'商品销售日报'!$A$5:$A$148,$A22,'商品销售日报'!$B$5:$B$148,$B22,'商品销售日报'!$D$5:$D$148,$D22)</x:f>
        <x:v>9</x:v>
      </x:c>
      <x:c r="J22" s="167" t="n">
        <x:v>1</x:v>
      </x:c>
      <x:c r="K22" s="189" t="n">
        <x:f>G22+H22-I22-J22</x:f>
        <x:v>81</x:v>
      </x:c>
      <x:c r="L22" s="189" t="n">
        <x:f>IFERROR(INDEX('商品主数据'!$G$5:$G$16,MATCH(D22,'商品主数据'!$A$5:$A$16,0)),"")</x:f>
        <x:v>40</x:v>
      </x:c>
      <x:c r="M22" s="146" t="str">
        <x:f>IF(K22&lt;=L22,"需补货",IF(K22&lt;=L22*1.5,"关注","正常"))</x:f>
        <x:v>正常</x:v>
      </x:c>
      <x:c r="N22" s="189" t="n">
        <x:f>MAX(L22*2-K22,0)</x:f>
        <x:v>0</x:v>
      </x:c>
      <x:c r="O22" s="185" t="n">
        <x:f>IFERROR(INDEX('商品主数据'!$F$5:$F$16,MATCH(D22,'商品主数据'!$A$5:$A$16,0)),"")</x:f>
        <x:v>9.5</x:v>
      </x:c>
      <x:c r="P22" s="185" t="n">
        <x:f>ROUND(K22*O22,2)</x:f>
        <x:v>769.5</x:v>
      </x:c>
      <x:c r="Q22" s="166"/>
      <x:c r="R22" s="169" t="str"/>
    </x:row>
    <x:row r="23">
      <x:c r="A23" s="165" t="n">
        <x:v>46250</x:v>
      </x:c>
      <x:c r="B23" s="166" t="str">
        <x:v>S002</x:v>
      </x:c>
      <x:c r="C23" s="182" t="str">
        <x:f>IFERROR(INDEX('门店主数据'!$B$5:$B$8,MATCH(B23,'门店主数据'!$A$5:$A$8,0)),"")</x:f>
        <x:v>滨江店</x:v>
      </x:c>
      <x:c r="D23" s="166" t="str">
        <x:v>P007</x:v>
      </x:c>
      <x:c r="E23" s="182" t="str">
        <x:f>IFERROR(INDEX('商品主数据'!$B$5:$B$16,MATCH(D23,'商品主数据'!$A$5:$A$16,0)),"")</x:f>
        <x:v>抹茶拿铁</x:v>
      </x:c>
      <x:c r="F23" s="182" t="str">
        <x:f>IFERROR(INDEX('商品主数据'!$C$5:$C$16,MATCH(D23,'商品主数据'!$A$5:$A$16,0)),"")</x:f>
        <x:v>茶饮</x:v>
      </x:c>
      <x:c r="G23" s="167" t="n">
        <x:v>47</x:v>
      </x:c>
      <x:c r="H23" s="167" t="n">
        <x:v>17</x:v>
      </x:c>
      <x:c r="I23" s="189" t="n">
        <x:f>SUMIFS('商品销售日报'!$I$5:$I$148,'商品销售日报'!$A$5:$A$148,$A23,'商品销售日报'!$B$5:$B$148,$B23,'商品销售日报'!$D$5:$D$148,$D23)</x:f>
        <x:v>4</x:v>
      </x:c>
      <x:c r="J23" s="167" t="n">
        <x:v>0</x:v>
      </x:c>
      <x:c r="K23" s="189" t="n">
        <x:f>G23+H23-I23-J23</x:f>
        <x:v>60</x:v>
      </x:c>
      <x:c r="L23" s="189" t="n">
        <x:f>IFERROR(INDEX('商品主数据'!$G$5:$G$16,MATCH(D23,'商品主数据'!$A$5:$A$16,0)),"")</x:f>
        <x:v>35</x:v>
      </x:c>
      <x:c r="M23" s="146" t="str">
        <x:f>IF(K23&lt;=L23,"需补货",IF(K23&lt;=L23*1.5,"关注","正常"))</x:f>
        <x:v>正常</x:v>
      </x:c>
      <x:c r="N23" s="189" t="n">
        <x:f>MAX(L23*2-K23,0)</x:f>
        <x:v>10</x:v>
      </x:c>
      <x:c r="O23" s="185" t="n">
        <x:f>IFERROR(INDEX('商品主数据'!$F$5:$F$16,MATCH(D23,'商品主数据'!$A$5:$A$16,0)),"")</x:f>
        <x:v>9</x:v>
      </x:c>
      <x:c r="P23" s="185" t="n">
        <x:f>ROUND(K23*O23,2)</x:f>
        <x:v>540</x:v>
      </x:c>
      <x:c r="Q23" s="166"/>
      <x:c r="R23" s="169" t="str"/>
    </x:row>
    <x:row r="24">
      <x:c r="A24" s="165" t="n">
        <x:v>46250</x:v>
      </x:c>
      <x:c r="B24" s="166" t="str">
        <x:v>S002</x:v>
      </x:c>
      <x:c r="C24" s="182" t="str">
        <x:f>IFERROR(INDEX('门店主数据'!$B$5:$B$8,MATCH(B24,'门店主数据'!$A$5:$A$8,0)),"")</x:f>
        <x:v>滨江店</x:v>
      </x:c>
      <x:c r="D24" s="166" t="str">
        <x:v>P008</x:v>
      </x:c>
      <x:c r="E24" s="182" t="str">
        <x:f>IFERROR(INDEX('商品主数据'!$B$5:$B$16,MATCH(D24,'商品主数据'!$A$5:$A$16,0)),"")</x:f>
        <x:v>海盐芝士蛋糕</x:v>
      </x:c>
      <x:c r="F24" s="182" t="str">
        <x:f>IFERROR(INDEX('商品主数据'!$C$5:$C$16,MATCH(D24,'商品主数据'!$A$5:$A$16,0)),"")</x:f>
        <x:v>烘焙</x:v>
      </x:c>
      <x:c r="G24" s="167" t="n">
        <x:v>30</x:v>
      </x:c>
      <x:c r="H24" s="167" t="n">
        <x:v>12</x:v>
      </x:c>
      <x:c r="I24" s="189" t="n">
        <x:f>SUMIFS('商品销售日报'!$I$5:$I$148,'商品销售日报'!$A$5:$A$148,$A24,'商品销售日报'!$B$5:$B$148,$B24,'商品销售日报'!$D$5:$D$148,$D24)</x:f>
        <x:v>4</x:v>
      </x:c>
      <x:c r="J24" s="167" t="n">
        <x:v>0</x:v>
      </x:c>
      <x:c r="K24" s="189" t="n">
        <x:f>G24+H24-I24-J24</x:f>
        <x:v>38</x:v>
      </x:c>
      <x:c r="L24" s="189" t="n">
        <x:f>IFERROR(INDEX('商品主数据'!$G$5:$G$16,MATCH(D24,'商品主数据'!$A$5:$A$16,0)),"")</x:f>
        <x:v>25</x:v>
      </x:c>
      <x:c r="M24" s="146" t="str">
        <x:f>IF(K24&lt;=L24,"需补货",IF(K24&lt;=L24*1.5,"关注","正常"))</x:f>
        <x:v>正常</x:v>
      </x:c>
      <x:c r="N24" s="189" t="n">
        <x:f>MAX(L24*2-K24,0)</x:f>
        <x:v>12</x:v>
      </x:c>
      <x:c r="O24" s="185" t="n">
        <x:f>IFERROR(INDEX('商品主数据'!$F$5:$F$16,MATCH(D24,'商品主数据'!$A$5:$A$16,0)),"")</x:f>
        <x:v>16</x:v>
      </x:c>
      <x:c r="P24" s="185" t="n">
        <x:f>ROUND(K24*O24,2)</x:f>
        <x:v>608</x:v>
      </x:c>
      <x:c r="Q24" s="166"/>
      <x:c r="R24" s="169" t="str"/>
    </x:row>
    <x:row r="25">
      <x:c r="A25" s="165" t="n">
        <x:v>46250</x:v>
      </x:c>
      <x:c r="B25" s="166" t="str">
        <x:v>S002</x:v>
      </x:c>
      <x:c r="C25" s="182" t="str">
        <x:f>IFERROR(INDEX('门店主数据'!$B$5:$B$8,MATCH(B25,'门店主数据'!$A$5:$A$8,0)),"")</x:f>
        <x:v>滨江店</x:v>
      </x:c>
      <x:c r="D25" s="166" t="str">
        <x:v>P009</x:v>
      </x:c>
      <x:c r="E25" s="182" t="str">
        <x:f>IFERROR(INDEX('商品主数据'!$B$5:$B$16,MATCH(D25,'商品主数据'!$A$5:$A$16,0)),"")</x:f>
        <x:v>黄油可颂</x:v>
      </x:c>
      <x:c r="F25" s="182" t="str">
        <x:f>IFERROR(INDEX('商品主数据'!$C$5:$C$16,MATCH(D25,'商品主数据'!$A$5:$A$16,0)),"")</x:f>
        <x:v>烘焙</x:v>
      </x:c>
      <x:c r="G25" s="167" t="n">
        <x:v>46</x:v>
      </x:c>
      <x:c r="H25" s="167" t="n">
        <x:v>40</x:v>
      </x:c>
      <x:c r="I25" s="189" t="n">
        <x:f>SUMIFS('商品销售日报'!$I$5:$I$148,'商品销售日报'!$A$5:$A$148,$A25,'商品销售日报'!$B$5:$B$148,$B25,'商品销售日报'!$D$5:$D$148,$D25)</x:f>
        <x:v>12</x:v>
      </x:c>
      <x:c r="J25" s="167" t="n">
        <x:v>0</x:v>
      </x:c>
      <x:c r="K25" s="189" t="n">
        <x:f>G25+H25-I25-J25</x:f>
        <x:v>74</x:v>
      </x:c>
      <x:c r="L25" s="189" t="n">
        <x:f>IFERROR(INDEX('商品主数据'!$G$5:$G$16,MATCH(D25,'商品主数据'!$A$5:$A$16,0)),"")</x:f>
        <x:v>40</x:v>
      </x:c>
      <x:c r="M25" s="146" t="str">
        <x:f>IF(K25&lt;=L25,"需补货",IF(K25&lt;=L25*1.5,"关注","正常"))</x:f>
        <x:v>正常</x:v>
      </x:c>
      <x:c r="N25" s="189" t="n">
        <x:f>MAX(L25*2-K25,0)</x:f>
        <x:v>6</x:v>
      </x:c>
      <x:c r="O25" s="185" t="n">
        <x:f>IFERROR(INDEX('商品主数据'!$F$5:$F$16,MATCH(D25,'商品主数据'!$A$5:$A$16,0)),"")</x:f>
        <x:v>6</x:v>
      </x:c>
      <x:c r="P25" s="185" t="n">
        <x:f>ROUND(K25*O25,2)</x:f>
        <x:v>444</x:v>
      </x:c>
      <x:c r="Q25" s="166"/>
      <x:c r="R25" s="169" t="str"/>
    </x:row>
    <x:row r="26">
      <x:c r="A26" s="165" t="n">
        <x:v>46250</x:v>
      </x:c>
      <x:c r="B26" s="166" t="str">
        <x:v>S002</x:v>
      </x:c>
      <x:c r="C26" s="182" t="str">
        <x:f>IFERROR(INDEX('门店主数据'!$B$5:$B$8,MATCH(B26,'门店主数据'!$A$5:$A$8,0)),"")</x:f>
        <x:v>滨江店</x:v>
      </x:c>
      <x:c r="D26" s="166" t="str">
        <x:v>P010</x:v>
      </x:c>
      <x:c r="E26" s="182" t="str">
        <x:f>IFERROR(INDEX('商品主数据'!$B$5:$B$16,MATCH(D26,'商品主数据'!$A$5:$A$16,0)),"")</x:f>
        <x:v>蓝莓玛芬</x:v>
      </x:c>
      <x:c r="F26" s="182" t="str">
        <x:f>IFERROR(INDEX('商品主数据'!$C$5:$C$16,MATCH(D26,'商品主数据'!$A$5:$A$16,0)),"")</x:f>
        <x:v>烘焙</x:v>
      </x:c>
      <x:c r="G26" s="167" t="n">
        <x:v>42</x:v>
      </x:c>
      <x:c r="H26" s="167" t="n">
        <x:v>17</x:v>
      </x:c>
      <x:c r="I26" s="189" t="n">
        <x:f>SUMIFS('商品销售日报'!$I$5:$I$148,'商品销售日报'!$A$5:$A$148,$A26,'商品销售日报'!$B$5:$B$148,$B26,'商品销售日报'!$D$5:$D$148,$D26)</x:f>
        <x:v>7</x:v>
      </x:c>
      <x:c r="J26" s="167" t="n">
        <x:v>0</x:v>
      </x:c>
      <x:c r="K26" s="189" t="n">
        <x:f>G26+H26-I26-J26</x:f>
        <x:v>52</x:v>
      </x:c>
      <x:c r="L26" s="189" t="n">
        <x:f>IFERROR(INDEX('商品主数据'!$G$5:$G$16,MATCH(D26,'商品主数据'!$A$5:$A$16,0)),"")</x:f>
        <x:v>35</x:v>
      </x:c>
      <x:c r="M26" s="146" t="str">
        <x:f>IF(K26&lt;=L26,"需补货",IF(K26&lt;=L26*1.5,"关注","正常"))</x:f>
        <x:v>关注</x:v>
      </x:c>
      <x:c r="N26" s="189" t="n">
        <x:f>MAX(L26*2-K26,0)</x:f>
        <x:v>18</x:v>
      </x:c>
      <x:c r="O26" s="185" t="n">
        <x:f>IFERROR(INDEX('商品主数据'!$F$5:$F$16,MATCH(D26,'商品主数据'!$A$5:$A$16,0)),"")</x:f>
        <x:v>5</x:v>
      </x:c>
      <x:c r="P26" s="185" t="n">
        <x:f>ROUND(K26*O26,2)</x:f>
        <x:v>260</x:v>
      </x:c>
      <x:c r="Q26" s="166"/>
      <x:c r="R26" s="169" t="str"/>
    </x:row>
    <x:row r="27">
      <x:c r="A27" s="165" t="n">
        <x:v>46250</x:v>
      </x:c>
      <x:c r="B27" s="166" t="str">
        <x:v>S002</x:v>
      </x:c>
      <x:c r="C27" s="182" t="str">
        <x:f>IFERROR(INDEX('门店主数据'!$B$5:$B$8,MATCH(B27,'门店主数据'!$A$5:$A$8,0)),"")</x:f>
        <x:v>滨江店</x:v>
      </x:c>
      <x:c r="D27" s="166" t="str">
        <x:v>P011</x:v>
      </x:c>
      <x:c r="E27" s="182" t="str">
        <x:f>IFERROR(INDEX('商品主数据'!$B$5:$B$16,MATCH(D27,'商品主数据'!$A$5:$A$16,0)),"")</x:f>
        <x:v>火腿芝士三明治</x:v>
      </x:c>
      <x:c r="F27" s="182" t="str">
        <x:f>IFERROR(INDEX('商品主数据'!$C$5:$C$16,MATCH(D27,'商品主数据'!$A$5:$A$16,0)),"")</x:f>
        <x:v>轻食</x:v>
      </x:c>
      <x:c r="G27" s="167" t="n">
        <x:v>33</x:v>
      </x:c>
      <x:c r="H27" s="167" t="n">
        <x:v>12</x:v>
      </x:c>
      <x:c r="I27" s="189" t="n">
        <x:f>SUMIFS('商品销售日报'!$I$5:$I$148,'商品销售日报'!$A$5:$A$148,$A27,'商品销售日报'!$B$5:$B$148,$B27,'商品销售日报'!$D$5:$D$148,$D27)</x:f>
        <x:v>5</x:v>
      </x:c>
      <x:c r="J27" s="167" t="n">
        <x:v>0</x:v>
      </x:c>
      <x:c r="K27" s="189" t="n">
        <x:f>G27+H27-I27-J27</x:f>
        <x:v>40</x:v>
      </x:c>
      <x:c r="L27" s="189" t="n">
        <x:f>IFERROR(INDEX('商品主数据'!$G$5:$G$16,MATCH(D27,'商品主数据'!$A$5:$A$16,0)),"")</x:f>
        <x:v>25</x:v>
      </x:c>
      <x:c r="M27" s="146" t="str">
        <x:f>IF(K27&lt;=L27,"需补货",IF(K27&lt;=L27*1.5,"关注","正常"))</x:f>
        <x:v>正常</x:v>
      </x:c>
      <x:c r="N27" s="189" t="n">
        <x:f>MAX(L27*2-K27,0)</x:f>
        <x:v>10</x:v>
      </x:c>
      <x:c r="O27" s="185" t="n">
        <x:f>IFERROR(INDEX('商品主数据'!$F$5:$F$16,MATCH(D27,'商品主数据'!$A$5:$A$16,0)),"")</x:f>
        <x:v>13</x:v>
      </x:c>
      <x:c r="P27" s="185" t="n">
        <x:f>ROUND(K27*O27,2)</x:f>
        <x:v>520</x:v>
      </x:c>
      <x:c r="Q27" s="166"/>
      <x:c r="R27" s="169" t="str"/>
    </x:row>
    <x:row r="28">
      <x:c r="A28" s="165" t="n">
        <x:v>46250</x:v>
      </x:c>
      <x:c r="B28" s="166" t="str">
        <x:v>S002</x:v>
      </x:c>
      <x:c r="C28" s="182" t="str">
        <x:f>IFERROR(INDEX('门店主数据'!$B$5:$B$8,MATCH(B28,'门店主数据'!$A$5:$A$8,0)),"")</x:f>
        <x:v>滨江店</x:v>
      </x:c>
      <x:c r="D28" s="166" t="str">
        <x:v>P012</x:v>
      </x:c>
      <x:c r="E28" s="182" t="str">
        <x:f>IFERROR(INDEX('商品主数据'!$B$5:$B$16,MATCH(D28,'商品主数据'!$A$5:$A$16,0)),"")</x:f>
        <x:v>燕麦奶加料</x:v>
      </x:c>
      <x:c r="F28" s="182" t="str">
        <x:f>IFERROR(INDEX('商品主数据'!$C$5:$C$16,MATCH(D28,'商品主数据'!$A$5:$A$16,0)),"")</x:f>
        <x:v>加料</x:v>
      </x:c>
      <x:c r="G28" s="167" t="n">
        <x:v>39</x:v>
      </x:c>
      <x:c r="H28" s="167" t="n">
        <x:v>30</x:v>
      </x:c>
      <x:c r="I28" s="189" t="n">
        <x:f>SUMIFS('商品销售日报'!$I$5:$I$148,'商品销售日报'!$A$5:$A$148,$A28,'商品销售日报'!$B$5:$B$148,$B28,'商品销售日报'!$D$5:$D$148,$D28)</x:f>
        <x:v>4</x:v>
      </x:c>
      <x:c r="J28" s="167" t="n">
        <x:v>0</x:v>
      </x:c>
      <x:c r="K28" s="189" t="n">
        <x:f>G28+H28-I28-J28</x:f>
        <x:v>65</x:v>
      </x:c>
      <x:c r="L28" s="189" t="n">
        <x:f>IFERROR(INDEX('商品主数据'!$G$5:$G$16,MATCH(D28,'商品主数据'!$A$5:$A$16,0)),"")</x:f>
        <x:v>30</x:v>
      </x:c>
      <x:c r="M28" s="146" t="str">
        <x:f>IF(K28&lt;=L28,"需补货",IF(K28&lt;=L28*1.5,"关注","正常"))</x:f>
        <x:v>正常</x:v>
      </x:c>
      <x:c r="N28" s="189" t="n">
        <x:f>MAX(L28*2-K28,0)</x:f>
        <x:v>0</x:v>
      </x:c>
      <x:c r="O28" s="185" t="n">
        <x:f>IFERROR(INDEX('商品主数据'!$F$5:$F$16,MATCH(D28,'商品主数据'!$A$5:$A$16,0)),"")</x:f>
        <x:v>1.8</x:v>
      </x:c>
      <x:c r="P28" s="185" t="n">
        <x:f>ROUND(K28*O28,2)</x:f>
        <x:v>117</x:v>
      </x:c>
      <x:c r="Q28" s="166"/>
      <x:c r="R28" s="169" t="str"/>
    </x:row>
    <x:row r="29">
      <x:c r="A29" s="165" t="n">
        <x:v>46250</x:v>
      </x:c>
      <x:c r="B29" s="166" t="str">
        <x:v>S003</x:v>
      </x:c>
      <x:c r="C29" s="182" t="str">
        <x:f>IFERROR(INDEX('门店主数据'!$B$5:$B$8,MATCH(B29,'门店主数据'!$A$5:$A$8,0)),"")</x:f>
        <x:v>大学城店</x:v>
      </x:c>
      <x:c r="D29" s="166" t="str">
        <x:v>P001</x:v>
      </x:c>
      <x:c r="E29" s="182" t="str">
        <x:f>IFERROR(INDEX('商品主数据'!$B$5:$B$16,MATCH(D29,'商品主数据'!$A$5:$A$16,0)),"")</x:f>
        <x:v>浓缩咖啡</x:v>
      </x:c>
      <x:c r="F29" s="182" t="str">
        <x:f>IFERROR(INDEX('商品主数据'!$C$5:$C$16,MATCH(D29,'商品主数据'!$A$5:$A$16,0)),"")</x:f>
        <x:v>咖啡</x:v>
      </x:c>
      <x:c r="G29" s="167" t="n">
        <x:v>57</x:v>
      </x:c>
      <x:c r="H29" s="167" t="n">
        <x:v>25</x:v>
      </x:c>
      <x:c r="I29" s="189" t="n">
        <x:f>SUMIFS('商品销售日报'!$I$5:$I$148,'商品销售日报'!$A$5:$A$148,$A29,'商品销售日报'!$B$5:$B$148,$B29,'商品销售日报'!$D$5:$D$148,$D29)</x:f>
        <x:v>8</x:v>
      </x:c>
      <x:c r="J29" s="167" t="n">
        <x:v>0</x:v>
      </x:c>
      <x:c r="K29" s="189" t="n">
        <x:f>G29+H29-I29-J29</x:f>
        <x:v>74</x:v>
      </x:c>
      <x:c r="L29" s="189" t="n">
        <x:f>IFERROR(INDEX('商品主数据'!$G$5:$G$16,MATCH(D29,'商品主数据'!$A$5:$A$16,0)),"")</x:f>
        <x:v>50</x:v>
      </x:c>
      <x:c r="M29" s="146" t="str">
        <x:f>IF(K29&lt;=L29,"需补货",IF(K29&lt;=L29*1.5,"关注","正常"))</x:f>
        <x:v>关注</x:v>
      </x:c>
      <x:c r="N29" s="189" t="n">
        <x:f>MAX(L29*2-K29,0)</x:f>
        <x:v>26</x:v>
      </x:c>
      <x:c r="O29" s="185" t="n">
        <x:f>IFERROR(INDEX('商品主数据'!$F$5:$F$16,MATCH(D29,'商品主数据'!$A$5:$A$16,0)),"")</x:f>
        <x:v>5.5</x:v>
      </x:c>
      <x:c r="P29" s="185" t="n">
        <x:f>ROUND(K29*O29,2)</x:f>
        <x:v>407</x:v>
      </x:c>
      <x:c r="Q29" s="166"/>
      <x:c r="R29" s="169" t="str"/>
    </x:row>
    <x:row r="30">
      <x:c r="A30" s="165" t="n">
        <x:v>46250</x:v>
      </x:c>
      <x:c r="B30" s="166" t="str">
        <x:v>S003</x:v>
      </x:c>
      <x:c r="C30" s="182" t="str">
        <x:f>IFERROR(INDEX('门店主数据'!$B$5:$B$8,MATCH(B30,'门店主数据'!$A$5:$A$8,0)),"")</x:f>
        <x:v>大学城店</x:v>
      </x:c>
      <x:c r="D30" s="166" t="str">
        <x:v>P002</x:v>
      </x:c>
      <x:c r="E30" s="182" t="str">
        <x:f>IFERROR(INDEX('商品主数据'!$B$5:$B$16,MATCH(D30,'商品主数据'!$A$5:$A$16,0)),"")</x:f>
        <x:v>美式咖啡</x:v>
      </x:c>
      <x:c r="F30" s="182" t="str">
        <x:f>IFERROR(INDEX('商品主数据'!$C$5:$C$16,MATCH(D30,'商品主数据'!$A$5:$A$16,0)),"")</x:f>
        <x:v>咖啡</x:v>
      </x:c>
      <x:c r="G30" s="167" t="n">
        <x:v>68</x:v>
      </x:c>
      <x:c r="H30" s="167" t="n">
        <x:v>60</x:v>
      </x:c>
      <x:c r="I30" s="189" t="n">
        <x:f>SUMIFS('商品销售日报'!$I$5:$I$148,'商品销售日报'!$A$5:$A$148,$A30,'商品销售日报'!$B$5:$B$148,$B30,'商品销售日报'!$D$5:$D$148,$D30)</x:f>
        <x:v>19</x:v>
      </x:c>
      <x:c r="J30" s="167" t="n">
        <x:v>0</x:v>
      </x:c>
      <x:c r="K30" s="189" t="n">
        <x:f>G30+H30-I30-J30</x:f>
        <x:v>109</x:v>
      </x:c>
      <x:c r="L30" s="189" t="n">
        <x:f>IFERROR(INDEX('商品主数据'!$G$5:$G$16,MATCH(D30,'商品主数据'!$A$5:$A$16,0)),"")</x:f>
        <x:v>60</x:v>
      </x:c>
      <x:c r="M30" s="146" t="str">
        <x:f>IF(K30&lt;=L30,"需补货",IF(K30&lt;=L30*1.5,"关注","正常"))</x:f>
        <x:v>正常</x:v>
      </x:c>
      <x:c r="N30" s="189" t="n">
        <x:f>MAX(L30*2-K30,0)</x:f>
        <x:v>11</x:v>
      </x:c>
      <x:c r="O30" s="185" t="n">
        <x:f>IFERROR(INDEX('商品主数据'!$F$5:$F$16,MATCH(D30,'商品主数据'!$A$5:$A$16,0)),"")</x:f>
        <x:v>6</x:v>
      </x:c>
      <x:c r="P30" s="185" t="n">
        <x:f>ROUND(K30*O30,2)</x:f>
        <x:v>654</x:v>
      </x:c>
      <x:c r="Q30" s="166"/>
      <x:c r="R30" s="169" t="str"/>
    </x:row>
    <x:row r="31">
      <x:c r="A31" s="165" t="n">
        <x:v>46250</x:v>
      </x:c>
      <x:c r="B31" s="166" t="str">
        <x:v>S003</x:v>
      </x:c>
      <x:c r="C31" s="182" t="str">
        <x:f>IFERROR(INDEX('门店主数据'!$B$5:$B$8,MATCH(B31,'门店主数据'!$A$5:$A$8,0)),"")</x:f>
        <x:v>大学城店</x:v>
      </x:c>
      <x:c r="D31" s="166" t="str">
        <x:v>P003</x:v>
      </x:c>
      <x:c r="E31" s="182" t="str">
        <x:f>IFERROR(INDEX('商品主数据'!$B$5:$B$16,MATCH(D31,'商品主数据'!$A$5:$A$16,0)),"")</x:f>
        <x:v>拿铁咖啡</x:v>
      </x:c>
      <x:c r="F31" s="182" t="str">
        <x:f>IFERROR(INDEX('商品主数据'!$C$5:$C$16,MATCH(D31,'商品主数据'!$A$5:$A$16,0)),"")</x:f>
        <x:v>咖啡</x:v>
      </x:c>
      <x:c r="G31" s="167" t="n">
        <x:v>42</x:v>
      </x:c>
      <x:c r="H31" s="167" t="n">
        <x:v>0</x:v>
      </x:c>
      <x:c r="I31" s="189" t="n">
        <x:f>SUMIFS('商品销售日报'!$I$5:$I$148,'商品销售日报'!$A$5:$A$148,$A31,'商品销售日报'!$B$5:$B$148,$B31,'商品销售日报'!$D$5:$D$148,$D31)</x:f>
        <x:v>13</x:v>
      </x:c>
      <x:c r="J31" s="167" t="n">
        <x:v>0</x:v>
      </x:c>
      <x:c r="K31" s="189" t="n">
        <x:f>G31+H31-I31-J31</x:f>
        <x:v>29</x:v>
      </x:c>
      <x:c r="L31" s="189" t="n">
        <x:f>IFERROR(INDEX('商品主数据'!$G$5:$G$16,MATCH(D31,'商品主数据'!$A$5:$A$16,0)),"")</x:f>
        <x:v>60</x:v>
      </x:c>
      <x:c r="M31" s="146" t="str">
        <x:f>IF(K31&lt;=L31,"需补货",IF(K31&lt;=L31*1.5,"关注","正常"))</x:f>
        <x:v>需补货</x:v>
      </x:c>
      <x:c r="N31" s="189" t="n">
        <x:f>MAX(L31*2-K31,0)</x:f>
        <x:v>91</x:v>
      </x:c>
      <x:c r="O31" s="185" t="n">
        <x:f>IFERROR(INDEX('商品主数据'!$F$5:$F$16,MATCH(D31,'商品主数据'!$A$5:$A$16,0)),"")</x:f>
        <x:v>8.5</x:v>
      </x:c>
      <x:c r="P31" s="185" t="n">
        <x:f>ROUND(K31*O31,2)</x:f>
        <x:v>246.5</x:v>
      </x:c>
      <x:c r="Q31" s="166"/>
      <x:c r="R31" s="169" t="str"/>
    </x:row>
    <x:row r="32">
      <x:c r="A32" s="165" t="n">
        <x:v>46250</x:v>
      </x:c>
      <x:c r="B32" s="166" t="str">
        <x:v>S003</x:v>
      </x:c>
      <x:c r="C32" s="182" t="str">
        <x:f>IFERROR(INDEX('门店主数据'!$B$5:$B$8,MATCH(B32,'门店主数据'!$A$5:$A$8,0)),"")</x:f>
        <x:v>大学城店</x:v>
      </x:c>
      <x:c r="D32" s="166" t="str">
        <x:v>P004</x:v>
      </x:c>
      <x:c r="E32" s="182" t="str">
        <x:f>IFERROR(INDEX('商品主数据'!$B$5:$B$16,MATCH(D32,'商品主数据'!$A$5:$A$16,0)),"")</x:f>
        <x:v>卡布奇诺</x:v>
      </x:c>
      <x:c r="F32" s="182" t="str">
        <x:f>IFERROR(INDEX('商品主数据'!$C$5:$C$16,MATCH(D32,'商品主数据'!$A$5:$A$16,0)),"")</x:f>
        <x:v>咖啡</x:v>
      </x:c>
      <x:c r="G32" s="167" t="n">
        <x:v>50</x:v>
      </x:c>
      <x:c r="H32" s="167" t="n">
        <x:v>20</x:v>
      </x:c>
      <x:c r="I32" s="189" t="n">
        <x:f>SUMIFS('商品销售日报'!$I$5:$I$148,'商品销售日报'!$A$5:$A$148,$A32,'商品销售日报'!$B$5:$B$148,$B32,'商品销售日报'!$D$5:$D$148,$D32)</x:f>
        <x:v>9</x:v>
      </x:c>
      <x:c r="J32" s="167" t="n">
        <x:v>1</x:v>
      </x:c>
      <x:c r="K32" s="189" t="n">
        <x:f>G32+H32-I32-J32</x:f>
        <x:v>60</x:v>
      </x:c>
      <x:c r="L32" s="189" t="n">
        <x:f>IFERROR(INDEX('商品主数据'!$G$5:$G$16,MATCH(D32,'商品主数据'!$A$5:$A$16,0)),"")</x:f>
        <x:v>40</x:v>
      </x:c>
      <x:c r="M32" s="146" t="str">
        <x:f>IF(K32&lt;=L32,"需补货",IF(K32&lt;=L32*1.5,"关注","正常"))</x:f>
        <x:v>关注</x:v>
      </x:c>
      <x:c r="N32" s="189" t="n">
        <x:f>MAX(L32*2-K32,0)</x:f>
        <x:v>20</x:v>
      </x:c>
      <x:c r="O32" s="185" t="n">
        <x:f>IFERROR(INDEX('商品主数据'!$F$5:$F$16,MATCH(D32,'商品主数据'!$A$5:$A$16,0)),"")</x:f>
        <x:v>8.5</x:v>
      </x:c>
      <x:c r="P32" s="185" t="n">
        <x:f>ROUND(K32*O32,2)</x:f>
        <x:v>510</x:v>
      </x:c>
      <x:c r="Q32" s="166"/>
      <x:c r="R32" s="169" t="str"/>
    </x:row>
    <x:row r="33">
      <x:c r="A33" s="165" t="n">
        <x:v>46250</x:v>
      </x:c>
      <x:c r="B33" s="166" t="str">
        <x:v>S003</x:v>
      </x:c>
      <x:c r="C33" s="182" t="str">
        <x:f>IFERROR(INDEX('门店主数据'!$B$5:$B$8,MATCH(B33,'门店主数据'!$A$5:$A$8,0)),"")</x:f>
        <x:v>大学城店</x:v>
      </x:c>
      <x:c r="D33" s="166" t="str">
        <x:v>P005</x:v>
      </x:c>
      <x:c r="E33" s="182" t="str">
        <x:f>IFERROR(INDEX('商品主数据'!$B$5:$B$16,MATCH(D33,'商品主数据'!$A$5:$A$16,0)),"")</x:f>
        <x:v>摩卡咖啡</x:v>
      </x:c>
      <x:c r="F33" s="182" t="str">
        <x:f>IFERROR(INDEX('商品主数据'!$C$5:$C$16,MATCH(D33,'商品主数据'!$A$5:$A$16,0)),"")</x:f>
        <x:v>咖啡</x:v>
      </x:c>
      <x:c r="G33" s="167" t="n">
        <x:v>51</x:v>
      </x:c>
      <x:c r="H33" s="167" t="n">
        <x:v>40</x:v>
      </x:c>
      <x:c r="I33" s="189" t="n">
        <x:f>SUMIFS('商品销售日报'!$I$5:$I$148,'商品销售日报'!$A$5:$A$148,$A33,'商品销售日报'!$B$5:$B$148,$B33,'商品销售日报'!$D$5:$D$148,$D33)</x:f>
        <x:v>7</x:v>
      </x:c>
      <x:c r="J33" s="167" t="n">
        <x:v>0</x:v>
      </x:c>
      <x:c r="K33" s="189" t="n">
        <x:f>G33+H33-I33-J33</x:f>
        <x:v>84</x:v>
      </x:c>
      <x:c r="L33" s="189" t="n">
        <x:f>IFERROR(INDEX('商品主数据'!$G$5:$G$16,MATCH(D33,'商品主数据'!$A$5:$A$16,0)),"")</x:f>
        <x:v>40</x:v>
      </x:c>
      <x:c r="M33" s="146" t="str">
        <x:f>IF(K33&lt;=L33,"需补货",IF(K33&lt;=L33*1.5,"关注","正常"))</x:f>
        <x:v>正常</x:v>
      </x:c>
      <x:c r="N33" s="189" t="n">
        <x:f>MAX(L33*2-K33,0)</x:f>
        <x:v>0</x:v>
      </x:c>
      <x:c r="O33" s="185" t="n">
        <x:f>IFERROR(INDEX('商品主数据'!$F$5:$F$16,MATCH(D33,'商品主数据'!$A$5:$A$16,0)),"")</x:f>
        <x:v>10</x:v>
      </x:c>
      <x:c r="P33" s="185" t="n">
        <x:f>ROUND(K33*O33,2)</x:f>
        <x:v>840</x:v>
      </x:c>
      <x:c r="Q33" s="166"/>
      <x:c r="R33" s="169" t="str"/>
    </x:row>
    <x:row r="34">
      <x:c r="A34" s="165" t="n">
        <x:v>46250</x:v>
      </x:c>
      <x:c r="B34" s="166" t="str">
        <x:v>S003</x:v>
      </x:c>
      <x:c r="C34" s="182" t="str">
        <x:f>IFERROR(INDEX('门店主数据'!$B$5:$B$8,MATCH(B34,'门店主数据'!$A$5:$A$8,0)),"")</x:f>
        <x:v>大学城店</x:v>
      </x:c>
      <x:c r="D34" s="166" t="str">
        <x:v>P006</x:v>
      </x:c>
      <x:c r="E34" s="182" t="str">
        <x:f>IFERROR(INDEX('商品主数据'!$B$5:$B$16,MATCH(D34,'商品主数据'!$A$5:$A$16,0)),"")</x:f>
        <x:v>冷萃咖啡</x:v>
      </x:c>
      <x:c r="F34" s="182" t="str">
        <x:f>IFERROR(INDEX('商品主数据'!$C$5:$C$16,MATCH(D34,'商品主数据'!$A$5:$A$16,0)),"")</x:f>
        <x:v>咖啡</x:v>
      </x:c>
      <x:c r="G34" s="167" t="n">
        <x:v>52</x:v>
      </x:c>
      <x:c r="H34" s="167" t="n">
        <x:v>20</x:v>
      </x:c>
      <x:c r="I34" s="189" t="n">
        <x:f>SUMIFS('商品销售日报'!$I$5:$I$148,'商品销售日报'!$A$5:$A$148,$A34,'商品销售日报'!$B$5:$B$148,$B34,'商品销售日报'!$D$5:$D$148,$D34)</x:f>
        <x:v>6</x:v>
      </x:c>
      <x:c r="J34" s="167" t="n">
        <x:v>0</x:v>
      </x:c>
      <x:c r="K34" s="189" t="n">
        <x:f>G34+H34-I34-J34</x:f>
        <x:v>66</x:v>
      </x:c>
      <x:c r="L34" s="189" t="n">
        <x:f>IFERROR(INDEX('商品主数据'!$G$5:$G$16,MATCH(D34,'商品主数据'!$A$5:$A$16,0)),"")</x:f>
        <x:v>40</x:v>
      </x:c>
      <x:c r="M34" s="146" t="str">
        <x:f>IF(K34&lt;=L34,"需补货",IF(K34&lt;=L34*1.5,"关注","正常"))</x:f>
        <x:v>正常</x:v>
      </x:c>
      <x:c r="N34" s="189" t="n">
        <x:f>MAX(L34*2-K34,0)</x:f>
        <x:v>14</x:v>
      </x:c>
      <x:c r="O34" s="185" t="n">
        <x:f>IFERROR(INDEX('商品主数据'!$F$5:$F$16,MATCH(D34,'商品主数据'!$A$5:$A$16,0)),"")</x:f>
        <x:v>9.5</x:v>
      </x:c>
      <x:c r="P34" s="185" t="n">
        <x:f>ROUND(K34*O34,2)</x:f>
        <x:v>627</x:v>
      </x:c>
      <x:c r="Q34" s="166"/>
      <x:c r="R34" s="169" t="str"/>
    </x:row>
    <x:row r="35">
      <x:c r="A35" s="165" t="n">
        <x:v>46250</x:v>
      </x:c>
      <x:c r="B35" s="166" t="str">
        <x:v>S003</x:v>
      </x:c>
      <x:c r="C35" s="182" t="str">
        <x:f>IFERROR(INDEX('门店主数据'!$B$5:$B$8,MATCH(B35,'门店主数据'!$A$5:$A$8,0)),"")</x:f>
        <x:v>大学城店</x:v>
      </x:c>
      <x:c r="D35" s="166" t="str">
        <x:v>P007</x:v>
      </x:c>
      <x:c r="E35" s="182" t="str">
        <x:f>IFERROR(INDEX('商品主数据'!$B$5:$B$16,MATCH(D35,'商品主数据'!$A$5:$A$16,0)),"")</x:f>
        <x:v>抹茶拿铁</x:v>
      </x:c>
      <x:c r="F35" s="182" t="str">
        <x:f>IFERROR(INDEX('商品主数据'!$C$5:$C$16,MATCH(D35,'商品主数据'!$A$5:$A$16,0)),"")</x:f>
        <x:v>茶饮</x:v>
      </x:c>
      <x:c r="G35" s="167" t="n">
        <x:v>40</x:v>
      </x:c>
      <x:c r="H35" s="167" t="n">
        <x:v>17</x:v>
      </x:c>
      <x:c r="I35" s="189" t="n">
        <x:f>SUMIFS('商品销售日报'!$I$5:$I$148,'商品销售日报'!$A$5:$A$148,$A35,'商品销售日报'!$B$5:$B$148,$B35,'商品销售日报'!$D$5:$D$148,$D35)</x:f>
        <x:v>5</x:v>
      </x:c>
      <x:c r="J35" s="167" t="n">
        <x:v>0</x:v>
      </x:c>
      <x:c r="K35" s="189" t="n">
        <x:f>G35+H35-I35-J35</x:f>
        <x:v>52</x:v>
      </x:c>
      <x:c r="L35" s="189" t="n">
        <x:f>IFERROR(INDEX('商品主数据'!$G$5:$G$16,MATCH(D35,'商品主数据'!$A$5:$A$16,0)),"")</x:f>
        <x:v>35</x:v>
      </x:c>
      <x:c r="M35" s="146" t="str">
        <x:f>IF(K35&lt;=L35,"需补货",IF(K35&lt;=L35*1.5,"关注","正常"))</x:f>
        <x:v>关注</x:v>
      </x:c>
      <x:c r="N35" s="189" t="n">
        <x:f>MAX(L35*2-K35,0)</x:f>
        <x:v>18</x:v>
      </x:c>
      <x:c r="O35" s="185" t="n">
        <x:f>IFERROR(INDEX('商品主数据'!$F$5:$F$16,MATCH(D35,'商品主数据'!$A$5:$A$16,0)),"")</x:f>
        <x:v>9</x:v>
      </x:c>
      <x:c r="P35" s="185" t="n">
        <x:f>ROUND(K35*O35,2)</x:f>
        <x:v>468</x:v>
      </x:c>
      <x:c r="Q35" s="166"/>
      <x:c r="R35" s="169" t="str"/>
    </x:row>
    <x:row r="36">
      <x:c r="A36" s="165" t="n">
        <x:v>46250</x:v>
      </x:c>
      <x:c r="B36" s="166" t="str">
        <x:v>S003</x:v>
      </x:c>
      <x:c r="C36" s="182" t="str">
        <x:f>IFERROR(INDEX('门店主数据'!$B$5:$B$8,MATCH(B36,'门店主数据'!$A$5:$A$8,0)),"")</x:f>
        <x:v>大学城店</x:v>
      </x:c>
      <x:c r="D36" s="166" t="str">
        <x:v>P008</x:v>
      </x:c>
      <x:c r="E36" s="182" t="str">
        <x:f>IFERROR(INDEX('商品主数据'!$B$5:$B$16,MATCH(D36,'商品主数据'!$A$5:$A$16,0)),"")</x:f>
        <x:v>海盐芝士蛋糕</x:v>
      </x:c>
      <x:c r="F36" s="182" t="str">
        <x:f>IFERROR(INDEX('商品主数据'!$C$5:$C$16,MATCH(D36,'商品主数据'!$A$5:$A$16,0)),"")</x:f>
        <x:v>烘焙</x:v>
      </x:c>
      <x:c r="G36" s="167" t="n">
        <x:v>31</x:v>
      </x:c>
      <x:c r="H36" s="167" t="n">
        <x:v>25</x:v>
      </x:c>
      <x:c r="I36" s="189" t="n">
        <x:f>SUMIFS('商品销售日报'!$I$5:$I$148,'商品销售日报'!$A$5:$A$148,$A36,'商品销售日报'!$B$5:$B$148,$B36,'商品销售日报'!$D$5:$D$148,$D36)</x:f>
        <x:v>5</x:v>
      </x:c>
      <x:c r="J36" s="167" t="n">
        <x:v>0</x:v>
      </x:c>
      <x:c r="K36" s="189" t="n">
        <x:f>G36+H36-I36-J36</x:f>
        <x:v>51</x:v>
      </x:c>
      <x:c r="L36" s="189" t="n">
        <x:f>IFERROR(INDEX('商品主数据'!$G$5:$G$16,MATCH(D36,'商品主数据'!$A$5:$A$16,0)),"")</x:f>
        <x:v>25</x:v>
      </x:c>
      <x:c r="M36" s="146" t="str">
        <x:f>IF(K36&lt;=L36,"需补货",IF(K36&lt;=L36*1.5,"关注","正常"))</x:f>
        <x:v>正常</x:v>
      </x:c>
      <x:c r="N36" s="189" t="n">
        <x:f>MAX(L36*2-K36,0)</x:f>
        <x:v>0</x:v>
      </x:c>
      <x:c r="O36" s="185" t="n">
        <x:f>IFERROR(INDEX('商品主数据'!$F$5:$F$16,MATCH(D36,'商品主数据'!$A$5:$A$16,0)),"")</x:f>
        <x:v>16</x:v>
      </x:c>
      <x:c r="P36" s="185" t="n">
        <x:f>ROUND(K36*O36,2)</x:f>
        <x:v>816</x:v>
      </x:c>
      <x:c r="Q36" s="166"/>
      <x:c r="R36" s="169" t="str"/>
    </x:row>
    <x:row r="37">
      <x:c r="A37" s="165" t="n">
        <x:v>46250</x:v>
      </x:c>
      <x:c r="B37" s="166" t="str">
        <x:v>S003</x:v>
      </x:c>
      <x:c r="C37" s="182" t="str">
        <x:f>IFERROR(INDEX('门店主数据'!$B$5:$B$8,MATCH(B37,'门店主数据'!$A$5:$A$8,0)),"")</x:f>
        <x:v>大学城店</x:v>
      </x:c>
      <x:c r="D37" s="166" t="str">
        <x:v>P009</x:v>
      </x:c>
      <x:c r="E37" s="182" t="str">
        <x:f>IFERROR(INDEX('商品主数据'!$B$5:$B$16,MATCH(D37,'商品主数据'!$A$5:$A$16,0)),"")</x:f>
        <x:v>黄油可颂</x:v>
      </x:c>
      <x:c r="F37" s="182" t="str">
        <x:f>IFERROR(INDEX('商品主数据'!$C$5:$C$16,MATCH(D37,'商品主数据'!$A$5:$A$16,0)),"")</x:f>
        <x:v>烘焙</x:v>
      </x:c>
      <x:c r="G37" s="167" t="n">
        <x:v>47</x:v>
      </x:c>
      <x:c r="H37" s="167" t="n">
        <x:v>20</x:v>
      </x:c>
      <x:c r="I37" s="189" t="n">
        <x:f>SUMIFS('商品销售日报'!$I$5:$I$148,'商品销售日报'!$A$5:$A$148,$A37,'商品销售日报'!$B$5:$B$148,$B37,'商品销售日报'!$D$5:$D$148,$D37)</x:f>
        <x:v>9</x:v>
      </x:c>
      <x:c r="J37" s="167" t="n">
        <x:v>0</x:v>
      </x:c>
      <x:c r="K37" s="189" t="n">
        <x:f>G37+H37-I37-J37</x:f>
        <x:v>58</x:v>
      </x:c>
      <x:c r="L37" s="189" t="n">
        <x:f>IFERROR(INDEX('商品主数据'!$G$5:$G$16,MATCH(D37,'商品主数据'!$A$5:$A$16,0)),"")</x:f>
        <x:v>40</x:v>
      </x:c>
      <x:c r="M37" s="146" t="str">
        <x:f>IF(K37&lt;=L37,"需补货",IF(K37&lt;=L37*1.5,"关注","正常"))</x:f>
        <x:v>关注</x:v>
      </x:c>
      <x:c r="N37" s="189" t="n">
        <x:f>MAX(L37*2-K37,0)</x:f>
        <x:v>22</x:v>
      </x:c>
      <x:c r="O37" s="185" t="n">
        <x:f>IFERROR(INDEX('商品主数据'!$F$5:$F$16,MATCH(D37,'商品主数据'!$A$5:$A$16,0)),"")</x:f>
        <x:v>6</x:v>
      </x:c>
      <x:c r="P37" s="185" t="n">
        <x:f>ROUND(K37*O37,2)</x:f>
        <x:v>348</x:v>
      </x:c>
      <x:c r="Q37" s="166"/>
      <x:c r="R37" s="169" t="str"/>
    </x:row>
    <x:row r="38">
      <x:c r="A38" s="165" t="n">
        <x:v>46250</x:v>
      </x:c>
      <x:c r="B38" s="166" t="str">
        <x:v>S003</x:v>
      </x:c>
      <x:c r="C38" s="182" t="str">
        <x:f>IFERROR(INDEX('门店主数据'!$B$5:$B$8,MATCH(B38,'门店主数据'!$A$5:$A$8,0)),"")</x:f>
        <x:v>大学城店</x:v>
      </x:c>
      <x:c r="D38" s="166" t="str">
        <x:v>P010</x:v>
      </x:c>
      <x:c r="E38" s="182" t="str">
        <x:f>IFERROR(INDEX('商品主数据'!$B$5:$B$16,MATCH(D38,'商品主数据'!$A$5:$A$16,0)),"")</x:f>
        <x:v>蓝莓玛芬</x:v>
      </x:c>
      <x:c r="F38" s="182" t="str">
        <x:f>IFERROR(INDEX('商品主数据'!$C$5:$C$16,MATCH(D38,'商品主数据'!$A$5:$A$16,0)),"")</x:f>
        <x:v>烘焙</x:v>
      </x:c>
      <x:c r="G38" s="167" t="n">
        <x:v>43</x:v>
      </x:c>
      <x:c r="H38" s="167" t="n">
        <x:v>17</x:v>
      </x:c>
      <x:c r="I38" s="189" t="n">
        <x:f>SUMIFS('商品销售日报'!$I$5:$I$148,'商品销售日报'!$A$5:$A$148,$A38,'商品销售日报'!$B$5:$B$148,$B38,'商品销售日报'!$D$5:$D$148,$D38)</x:f>
        <x:v>7</x:v>
      </x:c>
      <x:c r="J38" s="167" t="n">
        <x:v>0</x:v>
      </x:c>
      <x:c r="K38" s="189" t="n">
        <x:f>G38+H38-I38-J38</x:f>
        <x:v>53</x:v>
      </x:c>
      <x:c r="L38" s="189" t="n">
        <x:f>IFERROR(INDEX('商品主数据'!$G$5:$G$16,MATCH(D38,'商品主数据'!$A$5:$A$16,0)),"")</x:f>
        <x:v>35</x:v>
      </x:c>
      <x:c r="M38" s="146" t="str">
        <x:f>IF(K38&lt;=L38,"需补货",IF(K38&lt;=L38*1.5,"关注","正常"))</x:f>
        <x:v>正常</x:v>
      </x:c>
      <x:c r="N38" s="189" t="n">
        <x:f>MAX(L38*2-K38,0)</x:f>
        <x:v>17</x:v>
      </x:c>
      <x:c r="O38" s="185" t="n">
        <x:f>IFERROR(INDEX('商品主数据'!$F$5:$F$16,MATCH(D38,'商品主数据'!$A$5:$A$16,0)),"")</x:f>
        <x:v>5</x:v>
      </x:c>
      <x:c r="P38" s="185" t="n">
        <x:f>ROUND(K38*O38,2)</x:f>
        <x:v>265</x:v>
      </x:c>
      <x:c r="Q38" s="166"/>
      <x:c r="R38" s="169" t="str"/>
    </x:row>
    <x:row r="39">
      <x:c r="A39" s="165" t="n">
        <x:v>46250</x:v>
      </x:c>
      <x:c r="B39" s="166" t="str">
        <x:v>S003</x:v>
      </x:c>
      <x:c r="C39" s="182" t="str">
        <x:f>IFERROR(INDEX('门店主数据'!$B$5:$B$8,MATCH(B39,'门店主数据'!$A$5:$A$8,0)),"")</x:f>
        <x:v>大学城店</x:v>
      </x:c>
      <x:c r="D39" s="166" t="str">
        <x:v>P011</x:v>
      </x:c>
      <x:c r="E39" s="182" t="str">
        <x:f>IFERROR(INDEX('商品主数据'!$B$5:$B$16,MATCH(D39,'商品主数据'!$A$5:$A$16,0)),"")</x:f>
        <x:v>火腿芝士三明治</x:v>
      </x:c>
      <x:c r="F39" s="182" t="str">
        <x:f>IFERROR(INDEX('商品主数据'!$C$5:$C$16,MATCH(D39,'商品主数据'!$A$5:$A$16,0)),"")</x:f>
        <x:v>轻食</x:v>
      </x:c>
      <x:c r="G39" s="167" t="n">
        <x:v>34</x:v>
      </x:c>
      <x:c r="H39" s="167" t="n">
        <x:v>25</x:v>
      </x:c>
      <x:c r="I39" s="189" t="n">
        <x:f>SUMIFS('商品销售日报'!$I$5:$I$148,'商品销售日报'!$A$5:$A$148,$A39,'商品销售日报'!$B$5:$B$148,$B39,'商品销售日报'!$D$5:$D$148,$D39)</x:f>
        <x:v>6</x:v>
      </x:c>
      <x:c r="J39" s="167" t="n">
        <x:v>1</x:v>
      </x:c>
      <x:c r="K39" s="189" t="n">
        <x:f>G39+H39-I39-J39</x:f>
        <x:v>52</x:v>
      </x:c>
      <x:c r="L39" s="189" t="n">
        <x:f>IFERROR(INDEX('商品主数据'!$G$5:$G$16,MATCH(D39,'商品主数据'!$A$5:$A$16,0)),"")</x:f>
        <x:v>25</x:v>
      </x:c>
      <x:c r="M39" s="146" t="str">
        <x:f>IF(K39&lt;=L39,"需补货",IF(K39&lt;=L39*1.5,"关注","正常"))</x:f>
        <x:v>正常</x:v>
      </x:c>
      <x:c r="N39" s="189" t="n">
        <x:f>MAX(L39*2-K39,0)</x:f>
        <x:v>0</x:v>
      </x:c>
      <x:c r="O39" s="185" t="n">
        <x:f>IFERROR(INDEX('商品主数据'!$F$5:$F$16,MATCH(D39,'商品主数据'!$A$5:$A$16,0)),"")</x:f>
        <x:v>13</x:v>
      </x:c>
      <x:c r="P39" s="185" t="n">
        <x:f>ROUND(K39*O39,2)</x:f>
        <x:v>676</x:v>
      </x:c>
      <x:c r="Q39" s="166"/>
      <x:c r="R39" s="169" t="str"/>
    </x:row>
    <x:row r="40">
      <x:c r="A40" s="165" t="n">
        <x:v>46250</x:v>
      </x:c>
      <x:c r="B40" s="166" t="str">
        <x:v>S003</x:v>
      </x:c>
      <x:c r="C40" s="182" t="str">
        <x:f>IFERROR(INDEX('门店主数据'!$B$5:$B$8,MATCH(B40,'门店主数据'!$A$5:$A$8,0)),"")</x:f>
        <x:v>大学城店</x:v>
      </x:c>
      <x:c r="D40" s="166" t="str">
        <x:v>P012</x:v>
      </x:c>
      <x:c r="E40" s="182" t="str">
        <x:f>IFERROR(INDEX('商品主数据'!$B$5:$B$16,MATCH(D40,'商品主数据'!$A$5:$A$16,0)),"")</x:f>
        <x:v>燕麦奶加料</x:v>
      </x:c>
      <x:c r="F40" s="182" t="str">
        <x:f>IFERROR(INDEX('商品主数据'!$C$5:$C$16,MATCH(D40,'商品主数据'!$A$5:$A$16,0)),"")</x:f>
        <x:v>加料</x:v>
      </x:c>
      <x:c r="G40" s="167" t="n">
        <x:v>40</x:v>
      </x:c>
      <x:c r="H40" s="167" t="n">
        <x:v>15</x:v>
      </x:c>
      <x:c r="I40" s="189" t="n">
        <x:f>SUMIFS('商品销售日报'!$I$5:$I$148,'商品销售日报'!$A$5:$A$148,$A40,'商品销售日报'!$B$5:$B$148,$B40,'商品销售日报'!$D$5:$D$148,$D40)</x:f>
        <x:v>2</x:v>
      </x:c>
      <x:c r="J40" s="167" t="n">
        <x:v>0</x:v>
      </x:c>
      <x:c r="K40" s="189" t="n">
        <x:f>G40+H40-I40-J40</x:f>
        <x:v>53</x:v>
      </x:c>
      <x:c r="L40" s="189" t="n">
        <x:f>IFERROR(INDEX('商品主数据'!$G$5:$G$16,MATCH(D40,'商品主数据'!$A$5:$A$16,0)),"")</x:f>
        <x:v>30</x:v>
      </x:c>
      <x:c r="M40" s="146" t="str">
        <x:f>IF(K40&lt;=L40,"需补货",IF(K40&lt;=L40*1.5,"关注","正常"))</x:f>
        <x:v>正常</x:v>
      </x:c>
      <x:c r="N40" s="189" t="n">
        <x:f>MAX(L40*2-K40,0)</x:f>
        <x:v>7</x:v>
      </x:c>
      <x:c r="O40" s="185" t="n">
        <x:f>IFERROR(INDEX('商品主数据'!$F$5:$F$16,MATCH(D40,'商品主数据'!$A$5:$A$16,0)),"")</x:f>
        <x:v>1.8</x:v>
      </x:c>
      <x:c r="P40" s="185" t="n">
        <x:f>ROUND(K40*O40,2)</x:f>
        <x:v>95.4</x:v>
      </x:c>
      <x:c r="Q40" s="166"/>
      <x:c r="R40" s="169" t="str"/>
    </x:row>
    <x:row r="41">
      <x:c r="A41" s="165" t="n">
        <x:v>46250</x:v>
      </x:c>
      <x:c r="B41" s="166" t="str">
        <x:v>S004</x:v>
      </x:c>
      <x:c r="C41" s="182" t="str">
        <x:f>IFERROR(INDEX('门店主数据'!$B$5:$B$8,MATCH(B41,'门店主数据'!$A$5:$A$8,0)),"")</x:f>
        <x:v>机场店</x:v>
      </x:c>
      <x:c r="D41" s="166" t="str">
        <x:v>P001</x:v>
      </x:c>
      <x:c r="E41" s="182" t="str">
        <x:f>IFERROR(INDEX('商品主数据'!$B$5:$B$16,MATCH(D41,'商品主数据'!$A$5:$A$16,0)),"")</x:f>
        <x:v>浓缩咖啡</x:v>
      </x:c>
      <x:c r="F41" s="182" t="str">
        <x:f>IFERROR(INDEX('商品主数据'!$C$5:$C$16,MATCH(D41,'商品主数据'!$A$5:$A$16,0)),"")</x:f>
        <x:v>咖啡</x:v>
      </x:c>
      <x:c r="G41" s="167" t="n">
        <x:v>58</x:v>
      </x:c>
      <x:c r="H41" s="167" t="n">
        <x:v>50</x:v>
      </x:c>
      <x:c r="I41" s="189" t="n">
        <x:f>SUMIFS('商品销售日报'!$I$5:$I$148,'商品销售日报'!$A$5:$A$148,$A41,'商品销售日报'!$B$5:$B$148,$B41,'商品销售日报'!$D$5:$D$148,$D41)</x:f>
        <x:v>13</x:v>
      </x:c>
      <x:c r="J41" s="167" t="n">
        <x:v>0</x:v>
      </x:c>
      <x:c r="K41" s="189" t="n">
        <x:f>G41+H41-I41-J41</x:f>
        <x:v>95</x:v>
      </x:c>
      <x:c r="L41" s="189" t="n">
        <x:f>IFERROR(INDEX('商品主数据'!$G$5:$G$16,MATCH(D41,'商品主数据'!$A$5:$A$16,0)),"")</x:f>
        <x:v>50</x:v>
      </x:c>
      <x:c r="M41" s="146" t="str">
        <x:f>IF(K41&lt;=L41,"需补货",IF(K41&lt;=L41*1.5,"关注","正常"))</x:f>
        <x:v>正常</x:v>
      </x:c>
      <x:c r="N41" s="189" t="n">
        <x:f>MAX(L41*2-K41,0)</x:f>
        <x:v>5</x:v>
      </x:c>
      <x:c r="O41" s="185" t="n">
        <x:f>IFERROR(INDEX('商品主数据'!$F$5:$F$16,MATCH(D41,'商品主数据'!$A$5:$A$16,0)),"")</x:f>
        <x:v>5.5</x:v>
      </x:c>
      <x:c r="P41" s="185" t="n">
        <x:f>ROUND(K41*O41,2)</x:f>
        <x:v>522.5</x:v>
      </x:c>
      <x:c r="Q41" s="166"/>
      <x:c r="R41" s="169" t="str"/>
    </x:row>
    <x:row r="42">
      <x:c r="A42" s="165" t="n">
        <x:v>46250</x:v>
      </x:c>
      <x:c r="B42" s="166" t="str">
        <x:v>S004</x:v>
      </x:c>
      <x:c r="C42" s="182" t="str">
        <x:f>IFERROR(INDEX('门店主数据'!$B$5:$B$8,MATCH(B42,'门店主数据'!$A$5:$A$8,0)),"")</x:f>
        <x:v>机场店</x:v>
      </x:c>
      <x:c r="D42" s="166" t="str">
        <x:v>P002</x:v>
      </x:c>
      <x:c r="E42" s="182" t="str">
        <x:f>IFERROR(INDEX('商品主数据'!$B$5:$B$16,MATCH(D42,'商品主数据'!$A$5:$A$16,0)),"")</x:f>
        <x:v>美式咖啡</x:v>
      </x:c>
      <x:c r="F42" s="182" t="str">
        <x:f>IFERROR(INDEX('商品主数据'!$C$5:$C$16,MATCH(D42,'商品主数据'!$A$5:$A$16,0)),"")</x:f>
        <x:v>咖啡</x:v>
      </x:c>
      <x:c r="G42" s="167" t="n">
        <x:v>42</x:v>
      </x:c>
      <x:c r="H42" s="167" t="n">
        <x:v>0</x:v>
      </x:c>
      <x:c r="I42" s="189" t="n">
        <x:f>SUMIFS('商品销售日报'!$I$5:$I$148,'商品销售日报'!$A$5:$A$148,$A42,'商品销售日报'!$B$5:$B$148,$B42,'商品销售日报'!$D$5:$D$148,$D42)</x:f>
        <x:v>25</x:v>
      </x:c>
      <x:c r="J42" s="167" t="n">
        <x:v>1</x:v>
      </x:c>
      <x:c r="K42" s="189" t="n">
        <x:f>G42+H42-I42-J42</x:f>
        <x:v>16</x:v>
      </x:c>
      <x:c r="L42" s="189" t="n">
        <x:f>IFERROR(INDEX('商品主数据'!$G$5:$G$16,MATCH(D42,'商品主数据'!$A$5:$A$16,0)),"")</x:f>
        <x:v>60</x:v>
      </x:c>
      <x:c r="M42" s="146" t="str">
        <x:f>IF(K42&lt;=L42,"需补货",IF(K42&lt;=L42*1.5,"关注","正常"))</x:f>
        <x:v>需补货</x:v>
      </x:c>
      <x:c r="N42" s="189" t="n">
        <x:f>MAX(L42*2-K42,0)</x:f>
        <x:v>104</x:v>
      </x:c>
      <x:c r="O42" s="185" t="n">
        <x:f>IFERROR(INDEX('商品主数据'!$F$5:$F$16,MATCH(D42,'商品主数据'!$A$5:$A$16,0)),"")</x:f>
        <x:v>6</x:v>
      </x:c>
      <x:c r="P42" s="185" t="n">
        <x:f>ROUND(K42*O42,2)</x:f>
        <x:v>96</x:v>
      </x:c>
      <x:c r="Q42" s="166"/>
      <x:c r="R42" s="169" t="str"/>
    </x:row>
    <x:row r="43">
      <x:c r="A43" s="165" t="n">
        <x:v>46250</x:v>
      </x:c>
      <x:c r="B43" s="166" t="str">
        <x:v>S004</x:v>
      </x:c>
      <x:c r="C43" s="182" t="str">
        <x:f>IFERROR(INDEX('门店主数据'!$B$5:$B$8,MATCH(B43,'门店主数据'!$A$5:$A$8,0)),"")</x:f>
        <x:v>机场店</x:v>
      </x:c>
      <x:c r="D43" s="166" t="str">
        <x:v>P003</x:v>
      </x:c>
      <x:c r="E43" s="182" t="str">
        <x:f>IFERROR(INDEX('商品主数据'!$B$5:$B$16,MATCH(D43,'商品主数据'!$A$5:$A$16,0)),"")</x:f>
        <x:v>拿铁咖啡</x:v>
      </x:c>
      <x:c r="F43" s="182" t="str">
        <x:f>IFERROR(INDEX('商品主数据'!$C$5:$C$16,MATCH(D43,'商品主数据'!$A$5:$A$16,0)),"")</x:f>
        <x:v>咖啡</x:v>
      </x:c>
      <x:c r="G43" s="167" t="n">
        <x:v>42</x:v>
      </x:c>
      <x:c r="H43" s="167" t="n">
        <x:v>0</x:v>
      </x:c>
      <x:c r="I43" s="189" t="n">
        <x:f>SUMIFS('商品销售日报'!$I$5:$I$148,'商品销售日报'!$A$5:$A$148,$A43,'商品销售日报'!$B$5:$B$148,$B43,'商品销售日报'!$D$5:$D$148,$D43)</x:f>
        <x:v>20</x:v>
      </x:c>
      <x:c r="J43" s="167" t="n">
        <x:v>0</x:v>
      </x:c>
      <x:c r="K43" s="189" t="n">
        <x:f>G43+H43-I43-J43</x:f>
        <x:v>22</x:v>
      </x:c>
      <x:c r="L43" s="189" t="n">
        <x:f>IFERROR(INDEX('商品主数据'!$G$5:$G$16,MATCH(D43,'商品主数据'!$A$5:$A$16,0)),"")</x:f>
        <x:v>60</x:v>
      </x:c>
      <x:c r="M43" s="146" t="str">
        <x:f>IF(K43&lt;=L43,"需补货",IF(K43&lt;=L43*1.5,"关注","正常"))</x:f>
        <x:v>需补货</x:v>
      </x:c>
      <x:c r="N43" s="189" t="n">
        <x:f>MAX(L43*2-K43,0)</x:f>
        <x:v>98</x:v>
      </x:c>
      <x:c r="O43" s="185" t="n">
        <x:f>IFERROR(INDEX('商品主数据'!$F$5:$F$16,MATCH(D43,'商品主数据'!$A$5:$A$16,0)),"")</x:f>
        <x:v>8.5</x:v>
      </x:c>
      <x:c r="P43" s="185" t="n">
        <x:f>ROUND(K43*O43,2)</x:f>
        <x:v>187</x:v>
      </x:c>
      <x:c r="Q43" s="166"/>
      <x:c r="R43" s="169" t="str"/>
    </x:row>
    <x:row r="44">
      <x:c r="A44" s="165" t="n">
        <x:v>46250</x:v>
      </x:c>
      <x:c r="B44" s="166" t="str">
        <x:v>S004</x:v>
      </x:c>
      <x:c r="C44" s="182" t="str">
        <x:f>IFERROR(INDEX('门店主数据'!$B$5:$B$8,MATCH(B44,'门店主数据'!$A$5:$A$8,0)),"")</x:f>
        <x:v>机场店</x:v>
      </x:c>
      <x:c r="D44" s="166" t="str">
        <x:v>P004</x:v>
      </x:c>
      <x:c r="E44" s="182" t="str">
        <x:f>IFERROR(INDEX('商品主数据'!$B$5:$B$16,MATCH(D44,'商品主数据'!$A$5:$A$16,0)),"")</x:f>
        <x:v>卡布奇诺</x:v>
      </x:c>
      <x:c r="F44" s="182" t="str">
        <x:f>IFERROR(INDEX('商品主数据'!$C$5:$C$16,MATCH(D44,'商品主数据'!$A$5:$A$16,0)),"")</x:f>
        <x:v>咖啡</x:v>
      </x:c>
      <x:c r="G44" s="167" t="n">
        <x:v>51</x:v>
      </x:c>
      <x:c r="H44" s="167" t="n">
        <x:v>40</x:v>
      </x:c>
      <x:c r="I44" s="189" t="n">
        <x:f>SUMIFS('商品销售日报'!$I$5:$I$148,'商品销售日报'!$A$5:$A$148,$A44,'商品销售日报'!$B$5:$B$148,$B44,'商品销售日报'!$D$5:$D$148,$D44)</x:f>
        <x:v>14</x:v>
      </x:c>
      <x:c r="J44" s="167" t="n">
        <x:v>0</x:v>
      </x:c>
      <x:c r="K44" s="189" t="n">
        <x:f>G44+H44-I44-J44</x:f>
        <x:v>77</x:v>
      </x:c>
      <x:c r="L44" s="189" t="n">
        <x:f>IFERROR(INDEX('商品主数据'!$G$5:$G$16,MATCH(D44,'商品主数据'!$A$5:$A$16,0)),"")</x:f>
        <x:v>40</x:v>
      </x:c>
      <x:c r="M44" s="146" t="str">
        <x:f>IF(K44&lt;=L44,"需补货",IF(K44&lt;=L44*1.5,"关注","正常"))</x:f>
        <x:v>正常</x:v>
      </x:c>
      <x:c r="N44" s="189" t="n">
        <x:f>MAX(L44*2-K44,0)</x:f>
        <x:v>3</x:v>
      </x:c>
      <x:c r="O44" s="185" t="n">
        <x:f>IFERROR(INDEX('商品主数据'!$F$5:$F$16,MATCH(D44,'商品主数据'!$A$5:$A$16,0)),"")</x:f>
        <x:v>8.5</x:v>
      </x:c>
      <x:c r="P44" s="185" t="n">
        <x:f>ROUND(K44*O44,2)</x:f>
        <x:v>654.5</x:v>
      </x:c>
      <x:c r="Q44" s="166"/>
      <x:c r="R44" s="169" t="str"/>
    </x:row>
    <x:row r="45">
      <x:c r="A45" s="165" t="n">
        <x:v>46250</x:v>
      </x:c>
      <x:c r="B45" s="166" t="str">
        <x:v>S004</x:v>
      </x:c>
      <x:c r="C45" s="182" t="str">
        <x:f>IFERROR(INDEX('门店主数据'!$B$5:$B$8,MATCH(B45,'门店主数据'!$A$5:$A$8,0)),"")</x:f>
        <x:v>机场店</x:v>
      </x:c>
      <x:c r="D45" s="166" t="str">
        <x:v>P005</x:v>
      </x:c>
      <x:c r="E45" s="182" t="str">
        <x:f>IFERROR(INDEX('商品主数据'!$B$5:$B$16,MATCH(D45,'商品主数据'!$A$5:$A$16,0)),"")</x:f>
        <x:v>摩卡咖啡</x:v>
      </x:c>
      <x:c r="F45" s="182" t="str">
        <x:f>IFERROR(INDEX('商品主数据'!$C$5:$C$16,MATCH(D45,'商品主数据'!$A$5:$A$16,0)),"")</x:f>
        <x:v>咖啡</x:v>
      </x:c>
      <x:c r="G45" s="167" t="n">
        <x:v>28</x:v>
      </x:c>
      <x:c r="H45" s="167" t="n">
        <x:v>0</x:v>
      </x:c>
      <x:c r="I45" s="189" t="n">
        <x:f>SUMIFS('商品销售日报'!$I$5:$I$148,'商品销售日报'!$A$5:$A$148,$A45,'商品销售日报'!$B$5:$B$148,$B45,'商品销售日报'!$D$5:$D$148,$D45)</x:f>
        <x:v>8</x:v>
      </x:c>
      <x:c r="J45" s="167" t="n">
        <x:v>0</x:v>
      </x:c>
      <x:c r="K45" s="189" t="n">
        <x:f>G45+H45-I45-J45</x:f>
        <x:v>20</x:v>
      </x:c>
      <x:c r="L45" s="189" t="n">
        <x:f>IFERROR(INDEX('商品主数据'!$G$5:$G$16,MATCH(D45,'商品主数据'!$A$5:$A$16,0)),"")</x:f>
        <x:v>40</x:v>
      </x:c>
      <x:c r="M45" s="146" t="str">
        <x:f>IF(K45&lt;=L45,"需补货",IF(K45&lt;=L45*1.5,"关注","正常"))</x:f>
        <x:v>需补货</x:v>
      </x:c>
      <x:c r="N45" s="189" t="n">
        <x:f>MAX(L45*2-K45,0)</x:f>
        <x:v>60</x:v>
      </x:c>
      <x:c r="O45" s="185" t="n">
        <x:f>IFERROR(INDEX('商品主数据'!$F$5:$F$16,MATCH(D45,'商品主数据'!$A$5:$A$16,0)),"")</x:f>
        <x:v>10</x:v>
      </x:c>
      <x:c r="P45" s="185" t="n">
        <x:f>ROUND(K45*O45,2)</x:f>
        <x:v>200</x:v>
      </x:c>
      <x:c r="Q45" s="166"/>
      <x:c r="R45" s="169" t="str"/>
    </x:row>
    <x:row r="46">
      <x:c r="A46" s="165" t="n">
        <x:v>46250</x:v>
      </x:c>
      <x:c r="B46" s="166" t="str">
        <x:v>S004</x:v>
      </x:c>
      <x:c r="C46" s="182" t="str">
        <x:f>IFERROR(INDEX('门店主数据'!$B$5:$B$8,MATCH(B46,'门店主数据'!$A$5:$A$8,0)),"")</x:f>
        <x:v>机场店</x:v>
      </x:c>
      <x:c r="D46" s="166" t="str">
        <x:v>P006</x:v>
      </x:c>
      <x:c r="E46" s="182" t="str">
        <x:f>IFERROR(INDEX('商品主数据'!$B$5:$B$16,MATCH(D46,'商品主数据'!$A$5:$A$16,0)),"")</x:f>
        <x:v>冷萃咖啡</x:v>
      </x:c>
      <x:c r="F46" s="182" t="str">
        <x:f>IFERROR(INDEX('商品主数据'!$C$5:$C$16,MATCH(D46,'商品主数据'!$A$5:$A$16,0)),"")</x:f>
        <x:v>咖啡</x:v>
      </x:c>
      <x:c r="G46" s="167" t="n">
        <x:v>45</x:v>
      </x:c>
      <x:c r="H46" s="167" t="n">
        <x:v>20</x:v>
      </x:c>
      <x:c r="I46" s="189" t="n">
        <x:f>SUMIFS('商品销售日报'!$I$5:$I$148,'商品销售日报'!$A$5:$A$148,$A46,'商品销售日报'!$B$5:$B$148,$B46,'商品销售日报'!$D$5:$D$148,$D46)</x:f>
        <x:v>10</x:v>
      </x:c>
      <x:c r="J46" s="167" t="n">
        <x:v>0</x:v>
      </x:c>
      <x:c r="K46" s="189" t="n">
        <x:f>G46+H46-I46-J46</x:f>
        <x:v>55</x:v>
      </x:c>
      <x:c r="L46" s="189" t="n">
        <x:f>IFERROR(INDEX('商品主数据'!$G$5:$G$16,MATCH(D46,'商品主数据'!$A$5:$A$16,0)),"")</x:f>
        <x:v>40</x:v>
      </x:c>
      <x:c r="M46" s="146" t="str">
        <x:f>IF(K46&lt;=L46,"需补货",IF(K46&lt;=L46*1.5,"关注","正常"))</x:f>
        <x:v>关注</x:v>
      </x:c>
      <x:c r="N46" s="189" t="n">
        <x:f>MAX(L46*2-K46,0)</x:f>
        <x:v>25</x:v>
      </x:c>
      <x:c r="O46" s="185" t="n">
        <x:f>IFERROR(INDEX('商品主数据'!$F$5:$F$16,MATCH(D46,'商品主数据'!$A$5:$A$16,0)),"")</x:f>
        <x:v>9.5</x:v>
      </x:c>
      <x:c r="P46" s="185" t="n">
        <x:f>ROUND(K46*O46,2)</x:f>
        <x:v>522.5</x:v>
      </x:c>
      <x:c r="Q46" s="166"/>
      <x:c r="R46" s="169" t="str"/>
    </x:row>
    <x:row r="47">
      <x:c r="A47" s="165" t="n">
        <x:v>46250</x:v>
      </x:c>
      <x:c r="B47" s="166" t="str">
        <x:v>S004</x:v>
      </x:c>
      <x:c r="C47" s="182" t="str">
        <x:f>IFERROR(INDEX('门店主数据'!$B$5:$B$8,MATCH(B47,'门店主数据'!$A$5:$A$8,0)),"")</x:f>
        <x:v>机场店</x:v>
      </x:c>
      <x:c r="D47" s="166" t="str">
        <x:v>P007</x:v>
      </x:c>
      <x:c r="E47" s="182" t="str">
        <x:f>IFERROR(INDEX('商品主数据'!$B$5:$B$16,MATCH(D47,'商品主数据'!$A$5:$A$16,0)),"")</x:f>
        <x:v>抹茶拿铁</x:v>
      </x:c>
      <x:c r="F47" s="182" t="str">
        <x:f>IFERROR(INDEX('商品主数据'!$C$5:$C$16,MATCH(D47,'商品主数据'!$A$5:$A$16,0)),"")</x:f>
        <x:v>茶饮</x:v>
      </x:c>
      <x:c r="G47" s="167" t="n">
        <x:v>41</x:v>
      </x:c>
      <x:c r="H47" s="167" t="n">
        <x:v>35</x:v>
      </x:c>
      <x:c r="I47" s="189" t="n">
        <x:f>SUMIFS('商品销售日报'!$I$5:$I$148,'商品销售日报'!$A$5:$A$148,$A47,'商品销售日报'!$B$5:$B$148,$B47,'商品销售日报'!$D$5:$D$148,$D47)</x:f>
        <x:v>8</x:v>
      </x:c>
      <x:c r="J47" s="167" t="n">
        <x:v>0</x:v>
      </x:c>
      <x:c r="K47" s="189" t="n">
        <x:f>G47+H47-I47-J47</x:f>
        <x:v>68</x:v>
      </x:c>
      <x:c r="L47" s="189" t="n">
        <x:f>IFERROR(INDEX('商品主数据'!$G$5:$G$16,MATCH(D47,'商品主数据'!$A$5:$A$16,0)),"")</x:f>
        <x:v>35</x:v>
      </x:c>
      <x:c r="M47" s="146" t="str">
        <x:f>IF(K47&lt;=L47,"需补货",IF(K47&lt;=L47*1.5,"关注","正常"))</x:f>
        <x:v>正常</x:v>
      </x:c>
      <x:c r="N47" s="189" t="n">
        <x:f>MAX(L47*2-K47,0)</x:f>
        <x:v>2</x:v>
      </x:c>
      <x:c r="O47" s="185" t="n">
        <x:f>IFERROR(INDEX('商品主数据'!$F$5:$F$16,MATCH(D47,'商品主数据'!$A$5:$A$16,0)),"")</x:f>
        <x:v>9</x:v>
      </x:c>
      <x:c r="P47" s="185" t="n">
        <x:f>ROUND(K47*O47,2)</x:f>
        <x:v>612</x:v>
      </x:c>
      <x:c r="Q47" s="166"/>
      <x:c r="R47" s="169" t="str"/>
    </x:row>
    <x:row r="48">
      <x:c r="A48" s="165" t="n">
        <x:v>46250</x:v>
      </x:c>
      <x:c r="B48" s="166" t="str">
        <x:v>S004</x:v>
      </x:c>
      <x:c r="C48" s="182" t="str">
        <x:f>IFERROR(INDEX('门店主数据'!$B$5:$B$8,MATCH(B48,'门店主数据'!$A$5:$A$8,0)),"")</x:f>
        <x:v>机场店</x:v>
      </x:c>
      <x:c r="D48" s="166" t="str">
        <x:v>P008</x:v>
      </x:c>
      <x:c r="E48" s="182" t="str">
        <x:f>IFERROR(INDEX('商品主数据'!$B$5:$B$16,MATCH(D48,'商品主数据'!$A$5:$A$16,0)),"")</x:f>
        <x:v>海盐芝士蛋糕</x:v>
      </x:c>
      <x:c r="F48" s="182" t="str">
        <x:f>IFERROR(INDEX('商品主数据'!$C$5:$C$16,MATCH(D48,'商品主数据'!$A$5:$A$16,0)),"")</x:f>
        <x:v>烘焙</x:v>
      </x:c>
      <x:c r="G48" s="167" t="n">
        <x:v>32</x:v>
      </x:c>
      <x:c r="H48" s="167" t="n">
        <x:v>12</x:v>
      </x:c>
      <x:c r="I48" s="189" t="n">
        <x:f>SUMIFS('商品销售日报'!$I$5:$I$148,'商品销售日报'!$A$5:$A$148,$A48,'商品销售日报'!$B$5:$B$148,$B48,'商品销售日报'!$D$5:$D$148,$D48)</x:f>
        <x:v>5</x:v>
      </x:c>
      <x:c r="J48" s="167" t="n">
        <x:v>0</x:v>
      </x:c>
      <x:c r="K48" s="189" t="n">
        <x:f>G48+H48-I48-J48</x:f>
        <x:v>39</x:v>
      </x:c>
      <x:c r="L48" s="189" t="n">
        <x:f>IFERROR(INDEX('商品主数据'!$G$5:$G$16,MATCH(D48,'商品主数据'!$A$5:$A$16,0)),"")</x:f>
        <x:v>25</x:v>
      </x:c>
      <x:c r="M48" s="146" t="str">
        <x:f>IF(K48&lt;=L48,"需补货",IF(K48&lt;=L48*1.5,"关注","正常"))</x:f>
        <x:v>正常</x:v>
      </x:c>
      <x:c r="N48" s="189" t="n">
        <x:f>MAX(L48*2-K48,0)</x:f>
        <x:v>11</x:v>
      </x:c>
      <x:c r="O48" s="185" t="n">
        <x:f>IFERROR(INDEX('商品主数据'!$F$5:$F$16,MATCH(D48,'商品主数据'!$A$5:$A$16,0)),"")</x:f>
        <x:v>16</x:v>
      </x:c>
      <x:c r="P48" s="185" t="n">
        <x:f>ROUND(K48*O48,2)</x:f>
        <x:v>624</x:v>
      </x:c>
      <x:c r="Q48" s="166"/>
      <x:c r="R48" s="169" t="str"/>
    </x:row>
    <x:row r="49">
      <x:c r="A49" s="165" t="n">
        <x:v>46250</x:v>
      </x:c>
      <x:c r="B49" s="166" t="str">
        <x:v>S004</x:v>
      </x:c>
      <x:c r="C49" s="182" t="str">
        <x:f>IFERROR(INDEX('门店主数据'!$B$5:$B$8,MATCH(B49,'门店主数据'!$A$5:$A$8,0)),"")</x:f>
        <x:v>机场店</x:v>
      </x:c>
      <x:c r="D49" s="166" t="str">
        <x:v>P009</x:v>
      </x:c>
      <x:c r="E49" s="182" t="str">
        <x:f>IFERROR(INDEX('商品主数据'!$B$5:$B$16,MATCH(D49,'商品主数据'!$A$5:$A$16,0)),"")</x:f>
        <x:v>黄油可颂</x:v>
      </x:c>
      <x:c r="F49" s="182" t="str">
        <x:f>IFERROR(INDEX('商品主数据'!$C$5:$C$16,MATCH(D49,'商品主数据'!$A$5:$A$16,0)),"")</x:f>
        <x:v>烘焙</x:v>
      </x:c>
      <x:c r="G49" s="167" t="n">
        <x:v>48</x:v>
      </x:c>
      <x:c r="H49" s="167" t="n">
        <x:v>20</x:v>
      </x:c>
      <x:c r="I49" s="189" t="n">
        <x:f>SUMIFS('商品销售日报'!$I$5:$I$148,'商品销售日报'!$A$5:$A$148,$A49,'商品销售日报'!$B$5:$B$148,$B49,'商品销售日报'!$D$5:$D$148,$D49)</x:f>
        <x:v>14</x:v>
      </x:c>
      <x:c r="J49" s="167" t="n">
        <x:v>1</x:v>
      </x:c>
      <x:c r="K49" s="189" t="n">
        <x:f>G49+H49-I49-J49</x:f>
        <x:v>53</x:v>
      </x:c>
      <x:c r="L49" s="189" t="n">
        <x:f>IFERROR(INDEX('商品主数据'!$G$5:$G$16,MATCH(D49,'商品主数据'!$A$5:$A$16,0)),"")</x:f>
        <x:v>40</x:v>
      </x:c>
      <x:c r="M49" s="146" t="str">
        <x:f>IF(K49&lt;=L49,"需补货",IF(K49&lt;=L49*1.5,"关注","正常"))</x:f>
        <x:v>关注</x:v>
      </x:c>
      <x:c r="N49" s="189" t="n">
        <x:f>MAX(L49*2-K49,0)</x:f>
        <x:v>27</x:v>
      </x:c>
      <x:c r="O49" s="185" t="n">
        <x:f>IFERROR(INDEX('商品主数据'!$F$5:$F$16,MATCH(D49,'商品主数据'!$A$5:$A$16,0)),"")</x:f>
        <x:v>6</x:v>
      </x:c>
      <x:c r="P49" s="185" t="n">
        <x:f>ROUND(K49*O49,2)</x:f>
        <x:v>318</x:v>
      </x:c>
      <x:c r="Q49" s="166"/>
      <x:c r="R49" s="169" t="str"/>
    </x:row>
    <x:row r="50">
      <x:c r="A50" s="165" t="n">
        <x:v>46250</x:v>
      </x:c>
      <x:c r="B50" s="166" t="str">
        <x:v>S004</x:v>
      </x:c>
      <x:c r="C50" s="182" t="str">
        <x:f>IFERROR(INDEX('门店主数据'!$B$5:$B$8,MATCH(B50,'门店主数据'!$A$5:$A$8,0)),"")</x:f>
        <x:v>机场店</x:v>
      </x:c>
      <x:c r="D50" s="166" t="str">
        <x:v>P010</x:v>
      </x:c>
      <x:c r="E50" s="182" t="str">
        <x:f>IFERROR(INDEX('商品主数据'!$B$5:$B$16,MATCH(D50,'商品主数据'!$A$5:$A$16,0)),"")</x:f>
        <x:v>蓝莓玛芬</x:v>
      </x:c>
      <x:c r="F50" s="182" t="str">
        <x:f>IFERROR(INDEX('商品主数据'!$C$5:$C$16,MATCH(D50,'商品主数据'!$A$5:$A$16,0)),"")</x:f>
        <x:v>烘焙</x:v>
      </x:c>
      <x:c r="G50" s="167" t="n">
        <x:v>44</x:v>
      </x:c>
      <x:c r="H50" s="167" t="n">
        <x:v>35</x:v>
      </x:c>
      <x:c r="I50" s="189" t="n">
        <x:f>SUMIFS('商品销售日报'!$I$5:$I$148,'商品销售日报'!$A$5:$A$148,$A50,'商品销售日报'!$B$5:$B$148,$B50,'商品销售日报'!$D$5:$D$148,$D50)</x:f>
        <x:v>11</x:v>
      </x:c>
      <x:c r="J50" s="167" t="n">
        <x:v>0</x:v>
      </x:c>
      <x:c r="K50" s="189" t="n">
        <x:f>G50+H50-I50-J50</x:f>
        <x:v>68</x:v>
      </x:c>
      <x:c r="L50" s="189" t="n">
        <x:f>IFERROR(INDEX('商品主数据'!$G$5:$G$16,MATCH(D50,'商品主数据'!$A$5:$A$16,0)),"")</x:f>
        <x:v>35</x:v>
      </x:c>
      <x:c r="M50" s="146" t="str">
        <x:f>IF(K50&lt;=L50,"需补货",IF(K50&lt;=L50*1.5,"关注","正常"))</x:f>
        <x:v>正常</x:v>
      </x:c>
      <x:c r="N50" s="189" t="n">
        <x:f>MAX(L50*2-K50,0)</x:f>
        <x:v>2</x:v>
      </x:c>
      <x:c r="O50" s="185" t="n">
        <x:f>IFERROR(INDEX('商品主数据'!$F$5:$F$16,MATCH(D50,'商品主数据'!$A$5:$A$16,0)),"")</x:f>
        <x:v>5</x:v>
      </x:c>
      <x:c r="P50" s="185" t="n">
        <x:f>ROUND(K50*O50,2)</x:f>
        <x:v>340</x:v>
      </x:c>
      <x:c r="Q50" s="166"/>
      <x:c r="R50" s="169" t="str"/>
    </x:row>
    <x:row r="51">
      <x:c r="A51" s="165" t="n">
        <x:v>46250</x:v>
      </x:c>
      <x:c r="B51" s="166" t="str">
        <x:v>S004</x:v>
      </x:c>
      <x:c r="C51" s="182" t="str">
        <x:f>IFERROR(INDEX('门店主数据'!$B$5:$B$8,MATCH(B51,'门店主数据'!$A$5:$A$8,0)),"")</x:f>
        <x:v>机场店</x:v>
      </x:c>
      <x:c r="D51" s="166" t="str">
        <x:v>P011</x:v>
      </x:c>
      <x:c r="E51" s="182" t="str">
        <x:f>IFERROR(INDEX('商品主数据'!$B$5:$B$16,MATCH(D51,'商品主数据'!$A$5:$A$16,0)),"")</x:f>
        <x:v>火腿芝士三明治</x:v>
      </x:c>
      <x:c r="F51" s="182" t="str">
        <x:f>IFERROR(INDEX('商品主数据'!$C$5:$C$16,MATCH(D51,'商品主数据'!$A$5:$A$16,0)),"")</x:f>
        <x:v>轻食</x:v>
      </x:c>
      <x:c r="G51" s="167" t="n">
        <x:v>35</x:v>
      </x:c>
      <x:c r="H51" s="167" t="n">
        <x:v>12</x:v>
      </x:c>
      <x:c r="I51" s="189" t="n">
        <x:f>SUMIFS('商品销售日报'!$I$5:$I$148,'商品销售日报'!$A$5:$A$148,$A51,'商品销售日报'!$B$5:$B$148,$B51,'商品销售日报'!$D$5:$D$148,$D51)</x:f>
        <x:v>6</x:v>
      </x:c>
      <x:c r="J51" s="167" t="n">
        <x:v>0</x:v>
      </x:c>
      <x:c r="K51" s="189" t="n">
        <x:f>G51+H51-I51-J51</x:f>
        <x:v>41</x:v>
      </x:c>
      <x:c r="L51" s="189" t="n">
        <x:f>IFERROR(INDEX('商品主数据'!$G$5:$G$16,MATCH(D51,'商品主数据'!$A$5:$A$16,0)),"")</x:f>
        <x:v>25</x:v>
      </x:c>
      <x:c r="M51" s="146" t="str">
        <x:f>IF(K51&lt;=L51,"需补货",IF(K51&lt;=L51*1.5,"关注","正常"))</x:f>
        <x:v>正常</x:v>
      </x:c>
      <x:c r="N51" s="189" t="n">
        <x:f>MAX(L51*2-K51,0)</x:f>
        <x:v>9</x:v>
      </x:c>
      <x:c r="O51" s="185" t="n">
        <x:f>IFERROR(INDEX('商品主数据'!$F$5:$F$16,MATCH(D51,'商品主数据'!$A$5:$A$16,0)),"")</x:f>
        <x:v>13</x:v>
      </x:c>
      <x:c r="P51" s="185" t="n">
        <x:f>ROUND(K51*O51,2)</x:f>
        <x:v>533</x:v>
      </x:c>
      <x:c r="Q51" s="166"/>
      <x:c r="R51" s="169" t="str"/>
    </x:row>
    <x:row r="52">
      <x:c r="A52" s="170" t="n">
        <x:v>46250</x:v>
      </x:c>
      <x:c r="B52" s="171" t="str">
        <x:v>S004</x:v>
      </x:c>
      <x:c r="C52" s="183" t="str">
        <x:f>IFERROR(INDEX('门店主数据'!$B$5:$B$8,MATCH(B52,'门店主数据'!$A$5:$A$8,0)),"")</x:f>
        <x:v>机场店</x:v>
      </x:c>
      <x:c r="D52" s="171" t="str">
        <x:v>P012</x:v>
      </x:c>
      <x:c r="E52" s="183" t="str">
        <x:f>IFERROR(INDEX('商品主数据'!$B$5:$B$16,MATCH(D52,'商品主数据'!$A$5:$A$16,0)),"")</x:f>
        <x:v>燕麦奶加料</x:v>
      </x:c>
      <x:c r="F52" s="183" t="str">
        <x:f>IFERROR(INDEX('商品主数据'!$C$5:$C$16,MATCH(D52,'商品主数据'!$A$5:$A$16,0)),"")</x:f>
        <x:v>加料</x:v>
      </x:c>
      <x:c r="G52" s="172" t="n">
        <x:v>41</x:v>
      </x:c>
      <x:c r="H52" s="172" t="n">
        <x:v>15</x:v>
      </x:c>
      <x:c r="I52" s="191" t="n">
        <x:f>SUMIFS('商品销售日报'!$I$5:$I$148,'商品销售日报'!$A$5:$A$148,$A52,'商品销售日报'!$B$5:$B$148,$B52,'商品销售日报'!$D$5:$D$148,$D52)</x:f>
        <x:v>4</x:v>
      </x:c>
      <x:c r="J52" s="172" t="n">
        <x:v>0</x:v>
      </x:c>
      <x:c r="K52" s="191" t="n">
        <x:f>G52+H52-I52-J52</x:f>
        <x:v>52</x:v>
      </x:c>
      <x:c r="L52" s="191" t="n">
        <x:f>IFERROR(INDEX('商品主数据'!$G$5:$G$16,MATCH(D52,'商品主数据'!$A$5:$A$16,0)),"")</x:f>
        <x:v>30</x:v>
      </x:c>
      <x:c r="M52" s="151" t="str">
        <x:f>IF(K52&lt;=L52,"需补货",IF(K52&lt;=L52*1.5,"关注","正常"))</x:f>
        <x:v>正常</x:v>
      </x:c>
      <x:c r="N52" s="191" t="n">
        <x:f>MAX(L52*2-K52,0)</x:f>
        <x:v>8</x:v>
      </x:c>
      <x:c r="O52" s="186" t="n">
        <x:f>IFERROR(INDEX('商品主数据'!$F$5:$F$16,MATCH(D52,'商品主数据'!$A$5:$A$16,0)),"")</x:f>
        <x:v>1.8</x:v>
      </x:c>
      <x:c r="P52" s="186" t="n">
        <x:f>ROUND(K52*O52,2)</x:f>
        <x:v>93.6</x:v>
      </x:c>
      <x:c r="Q52" s="171"/>
      <x:c r="R52" s="174" t="str"/>
    </x:row>
  </x:sheetData>
  <x:mergeCells>
    <x:mergeCell ref="A1:R1"/>
    <x:mergeCell ref="A2:R2"/>
  </x:mergeCells>
  <x:conditionalFormatting sqref="M5:M52">
    <x:cfRule type="containsText" dxfId="0" priority="1" operator="containsText" text="需补货"/>
    <x:cfRule type="containsText" dxfId="1" priority="2" operator="containsText" text="关注"/>
    <x:cfRule type="containsText" dxfId="2" priority="3" operator="containsText" text="正常"/>
  </x:conditionalFormatting>
  <x:pageMargins left="0.7" right="0.7" top="0.75" bottom="0.75" header="0.3" footer="0.3"/>
  <x:tableParts count="1">
    <x:tablePart xmlns:r="http://schemas.openxmlformats.org/officeDocument/2006/relationships" r:id="R826eeed9732849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  <x:col min="6" max="6" width="10" hidden="0" customWidth="1"/>
    <x:col min="7" max="7" width="12" hidden="0" customWidth="1"/>
    <x:col min="8" max="8" width="16" hidden="0" customWidth="1"/>
  </x:cols>
  <x:sheetData>
    <x:row r="1" ht="30" customHeight="1">
      <x:c r="A1" s="178" t="str">
        <x:v>门店主数据</x:v>
      </x:c>
      <x:c r="B1" s="178"/>
      <x:c r="C1" s="178"/>
      <x:c r="D1" s="178"/>
      <x:c r="E1" s="178"/>
      <x:c r="F1" s="178"/>
      <x:c r="G1" s="178"/>
      <x:c r="H1" s="178"/>
    </x:row>
    <x:row r="2" ht="24" customHeight="1">
      <x:c r="A2" s="109" t="str">
        <x:v>四家示例门店；门店编码是日报、销售和库存表之间的关联键。
</x:v>
      </x:c>
      <x:c r="B2" s="109" t="str">
        <x:v>四家示例门店；门店编码是日报、销售和库存表之间的关联键。
</x:v>
      </x:c>
      <x:c r="C2" s="109" t="str">
        <x:v>四家示例门店；门店编码是日报、销售和库存表之间的关联键。
</x:v>
      </x:c>
      <x:c r="D2" s="109" t="str">
        <x:v>四家示例门店；门店编码是日报、销售和库存表之间的关联键。
</x:v>
      </x:c>
      <x:c r="E2" s="109" t="str">
        <x:v>四家示例门店；门店编码是日报、销售和库存表之间的关联键。
</x:v>
      </x:c>
      <x:c r="F2" s="109" t="str">
        <x:v>四家示例门店；门店编码是日报、销售和库存表之间的关联键。
</x:v>
      </x:c>
      <x:c r="G2" s="109" t="str">
        <x:v>四家示例门店；门店编码是日报、销售和库存表之间的关联键。
</x:v>
      </x:c>
      <x:c r="H2" s="109" t="str">
        <x:v>四家示例门店；门店编码是日报、销售和库存表之间的关联键。
</x:v>
      </x:c>
    </x:row>
    <x:row r="3">
      <x:c r="A3" s="110"/>
      <x:c r="B3" s="110"/>
      <x:c r="C3" s="110"/>
      <x:c r="D3" s="110"/>
      <x:c r="E3" s="110"/>
      <x:c r="F3" s="110"/>
      <x:c r="G3" s="110"/>
      <x:c r="H3" s="110"/>
    </x:row>
    <x:row r="4" ht="28" customHeight="1">
      <x:c r="A4" s="179" t="str">
        <x:v>门店编码</x:v>
      </x:c>
      <x:c r="B4" s="179" t="str">
        <x:v>门店名称</x:v>
      </x:c>
      <x:c r="C4" s="179" t="str">
        <x:v>区域</x:v>
      </x:c>
      <x:c r="D4" s="179" t="str">
        <x:v>开业日期</x:v>
      </x:c>
      <x:c r="E4" s="179" t="str">
        <x:v>店长</x:v>
      </x:c>
      <x:c r="F4" s="179" t="str">
        <x:v>座位数</x:v>
      </x:c>
      <x:c r="G4" s="179" t="str">
        <x:v>门店状态</x:v>
      </x:c>
      <x:c r="H4" s="179" t="str">
        <x:v>门店类型</x:v>
      </x:c>
    </x:row>
    <x:row r="5">
      <x:c r="A5" s="138" t="str">
        <x:v>S001</x:v>
      </x:c>
      <x:c r="B5" s="161" t="str">
        <x:v>人民广场店</x:v>
      </x:c>
      <x:c r="C5" s="161" t="str">
        <x:v>东城区</x:v>
      </x:c>
      <x:c r="D5" s="175" t="n">
        <x:v>45762</x:v>
      </x:c>
      <x:c r="E5" s="161" t="str">
        <x:v>王莉</x:v>
      </x:c>
      <x:c r="F5" s="162" t="n">
        <x:v>80</x:v>
      </x:c>
      <x:c r="G5" s="161" t="str">
        <x:v>营业中</x:v>
      </x:c>
      <x:c r="H5" s="164" t="str">
        <x:v>标准店</x:v>
      </x:c>
    </x:row>
    <x:row r="6">
      <x:c r="A6" s="143" t="str">
        <x:v>S002</x:v>
      </x:c>
      <x:c r="B6" s="166" t="str">
        <x:v>滨江店</x:v>
      </x:c>
      <x:c r="C6" s="166" t="str">
        <x:v>江北区</x:v>
      </x:c>
      <x:c r="D6" s="176" t="n">
        <x:v>45889</x:v>
      </x:c>
      <x:c r="E6" s="166" t="str">
        <x:v>陈浩</x:v>
      </x:c>
      <x:c r="F6" s="167" t="n">
        <x:v>65</x:v>
      </x:c>
      <x:c r="G6" s="166" t="str">
        <x:v>营业中</x:v>
      </x:c>
      <x:c r="H6" s="169" t="str">
        <x:v>社区店</x:v>
      </x:c>
    </x:row>
    <x:row r="7">
      <x:c r="A7" s="143" t="str">
        <x:v>S003</x:v>
      </x:c>
      <x:c r="B7" s="166" t="str">
        <x:v>大学城店</x:v>
      </x:c>
      <x:c r="C7" s="166" t="str">
        <x:v>大学城</x:v>
      </x:c>
      <x:c r="D7" s="176" t="n">
        <x:v>46032</x:v>
      </x:c>
      <x:c r="E7" s="166" t="str">
        <x:v>林雪</x:v>
      </x:c>
      <x:c r="F7" s="167" t="n">
        <x:v>55</x:v>
      </x:c>
      <x:c r="G7" s="166" t="str">
        <x:v>营业中</x:v>
      </x:c>
      <x:c r="H7" s="169" t="str">
        <x:v>校园店</x:v>
      </x:c>
    </x:row>
    <x:row r="8">
      <x:c r="A8" s="148" t="str">
        <x:v>S004</x:v>
      </x:c>
      <x:c r="B8" s="171" t="str">
        <x:v>机场店</x:v>
      </x:c>
      <x:c r="C8" s="171" t="str">
        <x:v>机场新区</x:v>
      </x:c>
      <x:c r="D8" s="177" t="n">
        <x:v>45627</x:v>
      </x:c>
      <x:c r="E8" s="171" t="str">
        <x:v>赵强</x:v>
      </x:c>
      <x:c r="F8" s="172" t="n">
        <x:v>100</x:v>
      </x:c>
      <x:c r="G8" s="171" t="str">
        <x:v>营业中</x:v>
      </x:c>
      <x:c r="H8" s="174" t="str">
        <x:v>交通枢纽店</x:v>
      </x:c>
    </x:row>
  </x:sheetData>
  <x:mergeCells>
    <x:mergeCell ref="A1:H1"/>
    <x:mergeCell ref="A2:H2"/>
  </x:mergeCells>
  <x:dataValidations count="1">
    <x:dataValidation type="list" sqref="G5:G8">
      <x:formula1>"营业中,筹备中,停业"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02bd175a9349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178" t="str">
        <x:v>商品主数据</x:v>
      </x:c>
      <x:c r="B1" s="178"/>
      <x:c r="C1" s="178"/>
      <x:c r="D1" s="178"/>
      <x:c r="E1" s="178"/>
      <x:c r="F1" s="178"/>
      <x:c r="G1" s="178"/>
      <x:c r="H1" s="178"/>
    </x:row>
    <x:row r="2" ht="24" customHeight="1">
      <x:c r="A2" s="109" t="str">
        <x:v>价格、成本和安全库存都集中维护；销售日报和库存清单会自动引用这里。
</x:v>
      </x:c>
      <x:c r="B2" s="109" t="str">
        <x:v>价格、成本和安全库存都集中维护；销售日报和库存清单会自动引用这里。
</x:v>
      </x:c>
      <x:c r="C2" s="109" t="str">
        <x:v>价格、成本和安全库存都集中维护；销售日报和库存清单会自动引用这里。
</x:v>
      </x:c>
      <x:c r="D2" s="109" t="str">
        <x:v>价格、成本和安全库存都集中维护；销售日报和库存清单会自动引用这里。
</x:v>
      </x:c>
      <x:c r="E2" s="109" t="str">
        <x:v>价格、成本和安全库存都集中维护；销售日报和库存清单会自动引用这里。
</x:v>
      </x:c>
      <x:c r="F2" s="109" t="str">
        <x:v>价格、成本和安全库存都集中维护；销售日报和库存清单会自动引用这里。
</x:v>
      </x:c>
      <x:c r="G2" s="109" t="str">
        <x:v>价格、成本和安全库存都集中维护；销售日报和库存清单会自动引用这里。
</x:v>
      </x:c>
      <x:c r="H2" s="109" t="str">
        <x:v>价格、成本和安全库存都集中维护；销售日报和库存清单会自动引用这里。
</x:v>
      </x:c>
    </x:row>
    <x:row r="3">
      <x:c r="A3" s="110"/>
      <x:c r="B3" s="110"/>
      <x:c r="C3" s="110"/>
      <x:c r="D3" s="110"/>
      <x:c r="E3" s="110"/>
      <x:c r="F3" s="110"/>
      <x:c r="G3" s="110"/>
      <x:c r="H3" s="110"/>
    </x:row>
    <x:row r="4" ht="28" customHeight="1">
      <x:c r="A4" s="179" t="str">
        <x:v>商品编码</x:v>
      </x:c>
      <x:c r="B4" s="179" t="str">
        <x:v>商品名称</x:v>
      </x:c>
      <x:c r="C4" s="179" t="str">
        <x:v>类别</x:v>
      </x:c>
      <x:c r="D4" s="179" t="str">
        <x:v>系列</x:v>
      </x:c>
      <x:c r="E4" s="179" t="str">
        <x:v>销售单价</x:v>
      </x:c>
      <x:c r="F4" s="179" t="str">
        <x:v>单位成本</x:v>
      </x:c>
      <x:c r="G4" s="179" t="str">
        <x:v>安全库存</x:v>
      </x:c>
      <x:c r="H4" s="179" t="str">
        <x:v>在售状态</x:v>
      </x:c>
    </x:row>
    <x:row r="5">
      <x:c r="A5" s="138" t="str">
        <x:v>P001</x:v>
      </x:c>
      <x:c r="B5" s="161" t="str">
        <x:v>浓缩咖啡</x:v>
      </x:c>
      <x:c r="C5" s="161" t="str">
        <x:v>咖啡</x:v>
      </x:c>
      <x:c r="D5" s="161" t="str">
        <x:v>经典咖啡</x:v>
      </x:c>
      <x:c r="E5" s="163" t="n">
        <x:v>22</x:v>
      </x:c>
      <x:c r="F5" s="163" t="n">
        <x:v>5.5</x:v>
      </x:c>
      <x:c r="G5" s="162" t="n">
        <x:v>50</x:v>
      </x:c>
      <x:c r="H5" s="164" t="str">
        <x:v>在售</x:v>
      </x:c>
    </x:row>
    <x:row r="6">
      <x:c r="A6" s="143" t="str">
        <x:v>P002</x:v>
      </x:c>
      <x:c r="B6" s="166" t="str">
        <x:v>美式咖啡</x:v>
      </x:c>
      <x:c r="C6" s="166" t="str">
        <x:v>咖啡</x:v>
      </x:c>
      <x:c r="D6" s="166" t="str">
        <x:v>经典咖啡</x:v>
      </x:c>
      <x:c r="E6" s="168" t="n">
        <x:v>26</x:v>
      </x:c>
      <x:c r="F6" s="168" t="n">
        <x:v>6</x:v>
      </x:c>
      <x:c r="G6" s="167" t="n">
        <x:v>60</x:v>
      </x:c>
      <x:c r="H6" s="169" t="str">
        <x:v>在售</x:v>
      </x:c>
    </x:row>
    <x:row r="7">
      <x:c r="A7" s="143" t="str">
        <x:v>P003</x:v>
      </x:c>
      <x:c r="B7" s="166" t="str">
        <x:v>拿铁咖啡</x:v>
      </x:c>
      <x:c r="C7" s="166" t="str">
        <x:v>咖啡</x:v>
      </x:c>
      <x:c r="D7" s="166" t="str">
        <x:v>奶咖</x:v>
      </x:c>
      <x:c r="E7" s="168" t="n">
        <x:v>32</x:v>
      </x:c>
      <x:c r="F7" s="168" t="n">
        <x:v>8.5</x:v>
      </x:c>
      <x:c r="G7" s="167" t="n">
        <x:v>60</x:v>
      </x:c>
      <x:c r="H7" s="169" t="str">
        <x:v>在售</x:v>
      </x:c>
    </x:row>
    <x:row r="8">
      <x:c r="A8" s="143" t="str">
        <x:v>P004</x:v>
      </x:c>
      <x:c r="B8" s="166" t="str">
        <x:v>卡布奇诺</x:v>
      </x:c>
      <x:c r="C8" s="166" t="str">
        <x:v>咖啡</x:v>
      </x:c>
      <x:c r="D8" s="166" t="str">
        <x:v>奶咖</x:v>
      </x:c>
      <x:c r="E8" s="168" t="n">
        <x:v>32</x:v>
      </x:c>
      <x:c r="F8" s="168" t="n">
        <x:v>8.5</x:v>
      </x:c>
      <x:c r="G8" s="167" t="n">
        <x:v>40</x:v>
      </x:c>
      <x:c r="H8" s="169" t="str">
        <x:v>在售</x:v>
      </x:c>
    </x:row>
    <x:row r="9">
      <x:c r="A9" s="143" t="str">
        <x:v>P005</x:v>
      </x:c>
      <x:c r="B9" s="166" t="str">
        <x:v>摩卡咖啡</x:v>
      </x:c>
      <x:c r="C9" s="166" t="str">
        <x:v>咖啡</x:v>
      </x:c>
      <x:c r="D9" s="166" t="str">
        <x:v>风味咖啡</x:v>
      </x:c>
      <x:c r="E9" s="168" t="n">
        <x:v>36</x:v>
      </x:c>
      <x:c r="F9" s="168" t="n">
        <x:v>10</x:v>
      </x:c>
      <x:c r="G9" s="167" t="n">
        <x:v>40</x:v>
      </x:c>
      <x:c r="H9" s="169" t="str">
        <x:v>在售</x:v>
      </x:c>
    </x:row>
    <x:row r="10">
      <x:c r="A10" s="143" t="str">
        <x:v>P006</x:v>
      </x:c>
      <x:c r="B10" s="166" t="str">
        <x:v>冷萃咖啡</x:v>
      </x:c>
      <x:c r="C10" s="166" t="str">
        <x:v>咖啡</x:v>
      </x:c>
      <x:c r="D10" s="166" t="str">
        <x:v>冷萃</x:v>
      </x:c>
      <x:c r="E10" s="168" t="n">
        <x:v>34</x:v>
      </x:c>
      <x:c r="F10" s="168" t="n">
        <x:v>9.5</x:v>
      </x:c>
      <x:c r="G10" s="167" t="n">
        <x:v>40</x:v>
      </x:c>
      <x:c r="H10" s="169" t="str">
        <x:v>在售</x:v>
      </x:c>
    </x:row>
    <x:row r="11">
      <x:c r="A11" s="143" t="str">
        <x:v>P007</x:v>
      </x:c>
      <x:c r="B11" s="166" t="str">
        <x:v>抹茶拿铁</x:v>
      </x:c>
      <x:c r="C11" s="166" t="str">
        <x:v>茶饮</x:v>
      </x:c>
      <x:c r="D11" s="166" t="str">
        <x:v>非咖啡</x:v>
      </x:c>
      <x:c r="E11" s="168" t="n">
        <x:v>34</x:v>
      </x:c>
      <x:c r="F11" s="168" t="n">
        <x:v>9</x:v>
      </x:c>
      <x:c r="G11" s="167" t="n">
        <x:v>35</x:v>
      </x:c>
      <x:c r="H11" s="169" t="str">
        <x:v>在售</x:v>
      </x:c>
    </x:row>
    <x:row r="12">
      <x:c r="A12" s="143" t="str">
        <x:v>P008</x:v>
      </x:c>
      <x:c r="B12" s="166" t="str">
        <x:v>海盐芝士蛋糕</x:v>
      </x:c>
      <x:c r="C12" s="166" t="str">
        <x:v>烘焙</x:v>
      </x:c>
      <x:c r="D12" s="166" t="str">
        <x:v>甜点</x:v>
      </x:c>
      <x:c r="E12" s="168" t="n">
        <x:v>38</x:v>
      </x:c>
      <x:c r="F12" s="168" t="n">
        <x:v>16</x:v>
      </x:c>
      <x:c r="G12" s="167" t="n">
        <x:v>25</x:v>
      </x:c>
      <x:c r="H12" s="169" t="str">
        <x:v>在售</x:v>
      </x:c>
    </x:row>
    <x:row r="13">
      <x:c r="A13" s="143" t="str">
        <x:v>P009</x:v>
      </x:c>
      <x:c r="B13" s="166" t="str">
        <x:v>黄油可颂</x:v>
      </x:c>
      <x:c r="C13" s="166" t="str">
        <x:v>烘焙</x:v>
      </x:c>
      <x:c r="D13" s="166" t="str">
        <x:v>面包</x:v>
      </x:c>
      <x:c r="E13" s="168" t="n">
        <x:v>18</x:v>
      </x:c>
      <x:c r="F13" s="168" t="n">
        <x:v>6</x:v>
      </x:c>
      <x:c r="G13" s="167" t="n">
        <x:v>40</x:v>
      </x:c>
      <x:c r="H13" s="169" t="str">
        <x:v>在售</x:v>
      </x:c>
    </x:row>
    <x:row r="14">
      <x:c r="A14" s="143" t="str">
        <x:v>P010</x:v>
      </x:c>
      <x:c r="B14" s="166" t="str">
        <x:v>蓝莓玛芬</x:v>
      </x:c>
      <x:c r="C14" s="166" t="str">
        <x:v>烘焙</x:v>
      </x:c>
      <x:c r="D14" s="166" t="str">
        <x:v>面包</x:v>
      </x:c>
      <x:c r="E14" s="168" t="n">
        <x:v>16</x:v>
      </x:c>
      <x:c r="F14" s="168" t="n">
        <x:v>5</x:v>
      </x:c>
      <x:c r="G14" s="167" t="n">
        <x:v>35</x:v>
      </x:c>
      <x:c r="H14" s="169" t="str">
        <x:v>在售</x:v>
      </x:c>
    </x:row>
    <x:row r="15">
      <x:c r="A15" s="143" t="str">
        <x:v>P011</x:v>
      </x:c>
      <x:c r="B15" s="166" t="str">
        <x:v>火腿芝士三明治</x:v>
      </x:c>
      <x:c r="C15" s="166" t="str">
        <x:v>轻食</x:v>
      </x:c>
      <x:c r="D15" s="166" t="str">
        <x:v>三明治</x:v>
      </x:c>
      <x:c r="E15" s="168" t="n">
        <x:v>32</x:v>
      </x:c>
      <x:c r="F15" s="168" t="n">
        <x:v>13</x:v>
      </x:c>
      <x:c r="G15" s="167" t="n">
        <x:v>25</x:v>
      </x:c>
      <x:c r="H15" s="169" t="str">
        <x:v>在售</x:v>
      </x:c>
    </x:row>
    <x:row r="16">
      <x:c r="A16" s="148" t="str">
        <x:v>P012</x:v>
      </x:c>
      <x:c r="B16" s="171" t="str">
        <x:v>燕麦奶加料</x:v>
      </x:c>
      <x:c r="C16" s="171" t="str">
        <x:v>加料</x:v>
      </x:c>
      <x:c r="D16" s="171" t="str">
        <x:v>配料</x:v>
      </x:c>
      <x:c r="E16" s="173" t="n">
        <x:v>5</x:v>
      </x:c>
      <x:c r="F16" s="173" t="n">
        <x:v>1.8</x:v>
      </x:c>
      <x:c r="G16" s="172" t="n">
        <x:v>30</x:v>
      </x:c>
      <x:c r="H16" s="174" t="str">
        <x:v>在售</x:v>
      </x:c>
    </x:row>
  </x:sheetData>
  <x:mergeCells>
    <x:mergeCell ref="A1:H1"/>
    <x:mergeCell ref="A2:H2"/>
  </x:mergeCells>
  <x:dataValidations count="1">
    <x:dataValidation type="list" sqref="H5:H16">
      <x:formula1>"在售,停售"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f9fc6fa20645f5"/>
  </x:tableParts>
</x:worksheet>
</file>